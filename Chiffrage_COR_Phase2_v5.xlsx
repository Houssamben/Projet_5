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ynthèse" sheetId="1" state="visible" r:id="rId3"/>
    <sheet name="Détail charges" sheetId="2" state="visible" r:id="rId4"/>
    <sheet name="Planning" sheetId="3" state="visible" r:id="rId5"/>
    <sheet name="Écarts vs v4" sheetId="4" state="visible" r:id="rId6"/>
    <sheet name="Analyse cycles test" sheetId="5" state="visible" r:id="rId7"/>
    <sheet name="Hypothèses &amp; risques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D22" authorId="0">
      <text>
        <r>
          <rPr>
            <sz val="10"/>
            <rFont val="Arial"/>
            <family val="2"/>
          </rPr>
          <t xml:space="preserve">Hypothèse : 21 jours ouvrés par mois en moyenne. Modifiable.</t>
        </r>
      </text>
    </comment>
    <comment ref="D23" authorId="0">
      <text>
        <r>
          <rPr>
            <sz val="10"/>
            <rFont val="Arial"/>
            <family val="2"/>
          </rPr>
          <t xml:space="preserve">Plafond fixé par le demandeur : 2,5 mois.</t>
        </r>
      </text>
    </comment>
  </commentList>
</comments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2" authorId="0">
      <text>
        <r>
          <rPr>
            <sz val="10"/>
            <rFont val="Arial"/>
            <family val="2"/>
          </rPr>
          <t xml:space="preserve">Hypothèse : démarrage le lundi 12/10/2026. À remplacer par la date réelle ; les dates des semaines se recalculent.</t>
        </r>
      </text>
    </comment>
  </commentList>
</comments>
</file>

<file path=xl/sharedStrings.xml><?xml version="1.0" encoding="utf-8"?>
<sst xmlns="http://schemas.openxmlformats.org/spreadsheetml/2006/main" count="706" uniqueCount="388">
  <si>
    <t xml:space="preserve">CHIFFRAGE COR PHASE 2 — Data Products Direct Debits Cash Flow</t>
  </si>
  <si>
    <t xml:space="preserve">v5 — Recalcul « Annule &amp; Remplace » sur 6 mois depuis la photo DCP mensuelle | 7 pays × 2 data products | flux unique | sans backfill 48 mois</t>
  </si>
  <si>
    <t xml:space="preserve">Lot</t>
  </si>
  <si>
    <t xml:space="preserve">Description</t>
  </si>
  <si>
    <t xml:space="preserve">Profil</t>
  </si>
  <si>
    <t xml:space="preserve">Charge (j)</t>
  </si>
  <si>
    <t xml:space="preserve">% Total</t>
  </si>
  <si>
    <t xml:space="preserve">LOT 0</t>
  </si>
  <si>
    <t xml:space="preserve">Cadrage &amp; essai technique (POC)</t>
  </si>
  <si>
    <t xml:space="preserve">Data Engineer</t>
  </si>
  <si>
    <t xml:space="preserve">LOT 1</t>
  </si>
  <si>
    <t xml:space="preserve">COR_dataset — Lecture des photos DCP</t>
  </si>
  <si>
    <t xml:space="preserve">LOT 2</t>
  </si>
  <si>
    <t xml:space="preserve">COR_design — Stage 1 (jointures &amp; règles 1-3)</t>
  </si>
  <si>
    <t xml:space="preserve">LOT 3</t>
  </si>
  <si>
    <t xml:space="preserve">COR_design — Stage 2 (groupes, ordre, flags, fenêtre)</t>
  </si>
  <si>
    <t xml:space="preserve">LOT 4</t>
  </si>
  <si>
    <t xml:space="preserve">COR_product — DETAILS</t>
  </si>
  <si>
    <t xml:space="preserve">LOT 5</t>
  </si>
  <si>
    <t xml:space="preserve">COR_product — KPI &amp; reprise phase 1</t>
  </si>
  <si>
    <t xml:space="preserve">LOT 6</t>
  </si>
  <si>
    <t xml:space="preserve">Orchestration &amp; exploitation</t>
  </si>
  <si>
    <t xml:space="preserve">MLOps</t>
  </si>
  <si>
    <t xml:space="preserve">LOT 7</t>
  </si>
  <si>
    <t xml:space="preserve">Démarrage (initialisation)</t>
  </si>
  <si>
    <t xml:space="preserve">LOT 8</t>
  </si>
  <si>
    <t xml:space="preserve">Recette fonctionnelle (UAT)</t>
  </si>
  <si>
    <t xml:space="preserve">LOT 9</t>
  </si>
  <si>
    <t xml:space="preserve">Documentation technique</t>
  </si>
  <si>
    <t xml:space="preserve">LOT 10</t>
  </si>
  <si>
    <t xml:space="preserve">Gestion de projet &amp; coordination</t>
  </si>
  <si>
    <t xml:space="preserve">LOT 11</t>
  </si>
  <si>
    <t xml:space="preserve">Évolution specs &amp; marge technique</t>
  </si>
  <si>
    <t xml:space="preserve">Sous-total Data Engineer</t>
  </si>
  <si>
    <t xml:space="preserve">Sous-total MLOps</t>
  </si>
  <si>
    <t xml:space="preserve">▶</t>
  </si>
  <si>
    <t xml:space="preserve">TOTAL GÉNÉRAL</t>
  </si>
  <si>
    <t xml:space="preserve">DE + MLOps</t>
  </si>
  <si>
    <t xml:space="preserve">Jours ouvrés par mois (hypothèse)</t>
  </si>
  <si>
    <t xml:space="preserve">Plafond demandé (mois)</t>
  </si>
  <si>
    <t xml:space="preserve">Charge totale en mois</t>
  </si>
  <si>
    <t xml:space="preserve">Charge Data Engineer en mois (chemin critique)</t>
  </si>
  <si>
    <t xml:space="preserve">Durée calendaire planifiée (semaines)</t>
  </si>
  <si>
    <t xml:space="preserve">Respect du plafond (charge totale ≤ plafond)</t>
  </si>
  <si>
    <t xml:space="preserve">Hypothèses principales :</t>
  </si>
  <si>
    <t xml:space="preserve">• Mécanisme : chaque mois, la photo DCP M recalcule et remplace les mois d'émission M-5 → M (note d'historisation : « Annule &amp; Remplace » 5 mois + insert du nouveau mois). Mois plus anciens figés.</t>
  </si>
  <si>
    <t xml:space="preserve">• Pas de backfill 48 mois : la plus ancienne photo DCP est juillet 2026 (→ février 2026). L'historique antérieur vient d'une reprise unique des KPI de la phase 1 (PostgreSQL, ≥ 4 ans).</t>
  </si>
  <si>
    <t xml:space="preserve">• Flux unique pour les 7 pays (tables DCP contiennent le pays) au lieu de 7 recettes par étape comme en phase 1 — à valider (impact si ×7 : voir onglet Hypothèses &amp; risques).</t>
  </si>
  <si>
    <t xml:space="preserve">• Règles 4-6 en option B (photo 15 mois + mois figés de DETAILS) ; option A (photo seule) = environ -1 j.</t>
  </si>
  <si>
    <t xml:space="preserve">• Standards phase 1 réutilisés : 3 projets DATASET / DESIGN / PRODUCT, lib + recettes courtes, Great Expectations, pytest, scénarios chaînés.</t>
  </si>
  <si>
    <t xml:space="preserve">• Hors périmètre : déploiement et environnements (dev → test → prod).</t>
  </si>
  <si>
    <t xml:space="preserve">• Profil : développeur senior Dataiku / PySpark confirmé + MLOps à temps partiel.</t>
  </si>
  <si>
    <t xml:space="preserve">DÉTAIL DES CHARGES — COR PHASE 2 (v5)</t>
  </si>
  <si>
    <t xml:space="preserve">ID</t>
  </si>
  <si>
    <t xml:space="preserve">Activité</t>
  </si>
  <si>
    <t xml:space="preserve">Commentaire / Justification</t>
  </si>
  <si>
    <t xml:space="preserve">Dépend de</t>
  </si>
  <si>
    <t xml:space="preserve">Critère de fin (DoD)</t>
  </si>
  <si>
    <t xml:space="preserve">T0.1</t>
  </si>
  <si>
    <t xml:space="preserve">Accès COS DCP + lecture d'une photo réelle (7 tables × 7 pays)</t>
  </si>
  <si>
    <t xml:space="preserve">Vérifier sur données réelles : profondeur 15 mois (prélèvements) / 6 mois (échecs), colonnes vs mapping, nommage fichiers (préfixe + timestamp de dépôt), mode de découpage de la fenêtre par DCP.</t>
  </si>
  <si>
    <t xml:space="preserve">—</t>
  </si>
  <si>
    <t xml:space="preserve">Rapport de vérification partagé ; écarts vs mapping listés</t>
  </si>
  <si>
    <t xml:space="preserve">T0.2</t>
  </si>
  <si>
    <t xml:space="preserve">POC PySpark : lecture CSV d'une photo (~25 M lignes) + filtres</t>
  </si>
  <si>
    <t xml:space="preserve">Mesurer la durée réelle d'un run (base du nombre de cycles de test). Spark sur Kubernetes, comme les recettes PySpark existantes.</t>
  </si>
  <si>
    <t xml:space="preserve">Durée de lecture + filtres mesurée et documentée</t>
  </si>
  <si>
    <t xml:space="preserve">T0.3</t>
  </si>
  <si>
    <t xml:space="preserve">POC PostgreSQL : écriture ~6 mois de DETAILS + publication en transaction</t>
  </si>
  <si>
    <t xml:space="preserve">Mesurer la vitesse d'écriture et valider le principe 'table de préparation → suppression fenêtre + insertion' en une transaction.</t>
  </si>
  <si>
    <t xml:space="preserve">Temps d'écriture mesuré ; publication transactionnelle validée</t>
  </si>
  <si>
    <t xml:space="preserve">T0.4</t>
  </si>
  <si>
    <t xml:space="preserve">Atelier métier : levée des points ouverts</t>
  </si>
  <si>
    <t xml:space="preserve">Option A/B (recherche des tentatives précédentes), clé de groupe (règle 4 vs 5), délai max d'échec (docs : ~3 mois / métier : 5 mois), tentatives &gt; 3, définition du mois des KPI, anomalies mapping (règles 6, 9-12, formule taux de succès).</t>
  </si>
  <si>
    <t xml:space="preserve">Décisions tracées et validées par le métier</t>
  </si>
  <si>
    <t xml:space="preserve">Sous-total LOT 0</t>
  </si>
  <si>
    <t xml:space="preserve">T1.1</t>
  </si>
  <si>
    <t xml:space="preserve">Paramétrage des datasets DCP existants (7 tables) par mois d'arrêté</t>
  </si>
  <si>
    <t xml:space="preserve">Réutilisation des datasets du data engineer (pointent déjà sur DCP, colonnes définies). Ajout : variable 'mois photo', sélection du fichier par préfixe suivi de chiffres (éviter c_cash_flow_ vs c_cash_flow_ctr_…).</t>
  </si>
  <si>
    <t xml:space="preserve">Lecture d'une photo donnée par simple changement de variable</t>
  </si>
  <si>
    <t xml:space="preserve">T1.2</t>
  </si>
  <si>
    <t xml:space="preserve">Recette de contrôle de complétude de la photo</t>
  </si>
  <si>
    <t xml:space="preserve">7 tables × 7 pays présentes et non vides ; lecture de la date de dépôt (timestamp du nom de fichier) pour détecter un redépôt. Arrêt + alerte si incomplet, rien n'est écrit.</t>
  </si>
  <si>
    <t xml:space="preserve">Run bloqué si une table/pays manque ; testé sur un cas incomplet</t>
  </si>
  <si>
    <t xml:space="preserve">T1.3</t>
  </si>
  <si>
    <t xml:space="preserve">Lib filters.py (PySpark) : filtres, sélection de colonnes, typage</t>
  </si>
  <si>
    <t xml:space="preserve">TECH_UPDATE_TYPE_TRUSTED &lt;&gt; 'L', COD_PAYMENT_METHOD = 'DIRECT_DEBIT', COD_CASH_FLOW_DIRECTION = 'CREDIT', ID_LEASING_INVOICE commence par 'FLL'. Lib métier réécrite (schéma différent de la phase 1).</t>
  </si>
  <si>
    <t xml:space="preserve">Fonctions de la lib couvertes par tests unitaires</t>
  </si>
  <si>
    <t xml:space="preserve">T1.4</t>
  </si>
  <si>
    <t xml:space="preserve">Contrats Great Expectations sur les sorties dataset</t>
  </si>
  <si>
    <t xml:space="preserve">Réutilisation de expectation_runner / dataiku_extender de la phase 1 (standard projet).</t>
  </si>
  <si>
    <t xml:space="preserve">Contrats générés et passants sur la photo réelle</t>
  </si>
  <si>
    <t xml:space="preserve">T1.5</t>
  </si>
  <si>
    <t xml:space="preserve">Tests unitaires pytest (lib dataset)</t>
  </si>
  <si>
    <t xml:space="preserve">Même standard que test_prepare_dataset.py de la phase 1.</t>
  </si>
  <si>
    <t xml:space="preserve">Tests verts</t>
  </si>
  <si>
    <t xml:space="preserve">T1.6</t>
  </si>
  <si>
    <t xml:space="preserve">Scénario BUILD_DATASET + cycles de test sur photo réelle</t>
  </si>
  <si>
    <t xml:space="preserve">Reprise de la structure des scénarios phase 1 (variables, GX_FILES, LOGS).</t>
  </si>
  <si>
    <t xml:space="preserve">T1.2, T1.4</t>
  </si>
  <si>
    <t xml:space="preserve">Scénario exécuté de bout en bout sur une photo réelle</t>
  </si>
  <si>
    <t xml:space="preserve">Sous-total LOT 1</t>
  </si>
  <si>
    <t xml:space="preserve">T2.1</t>
  </si>
  <si>
    <t xml:space="preserve">Lib joins.py : jointures des 7 tables</t>
  </si>
  <si>
    <t xml:space="preserve">Clés toujours pays + métier + id. CTR_FIN_CDT_INVOICE ↔ CASH_FLOW (inner) ↔ DIRECT_DEBIT_CASH_FLOW, LEASING_FINANCING_CONDITION, DTM_T_MARCHE_IBL_CTR (left).</t>
  </si>
  <si>
    <t xml:space="preserve">Volumétrie après jointure contrôlée (pas de duplication)</t>
  </si>
  <si>
    <t xml:space="preserve">T2.2</t>
  </si>
  <si>
    <t xml:space="preserve">Règles 1-3 : motif, libellé et date d'échec</t>
  </si>
  <si>
    <t xml:space="preserve">FAILED_CASH_FLOW + TYP_CASH_FLOW_FAILURE_REASON. Pas de mise à jour ligne à ligne : recalcul de la fenêtre.</t>
  </si>
  <si>
    <t xml:space="preserve">Règles 1-3 conformes au mapping sur jeu de test</t>
  </si>
  <si>
    <t xml:space="preserve">T2.3</t>
  </si>
  <si>
    <t xml:space="preserve">Périodicité / marché / IBL : dernière valeur connue</t>
  </si>
  <si>
    <t xml:space="preserve">Décision validée (option A) : dernière valeur pendant la vie de la ligne, figée ensuite.</t>
  </si>
  <si>
    <t xml:space="preserve">Valeurs présentes sur toutes les lignes de la fenêtre</t>
  </si>
  <si>
    <t xml:space="preserve">T2.4</t>
  </si>
  <si>
    <t xml:space="preserve">Recette PySpark Stage 1 (flux unique 7 pays)</t>
  </si>
  <si>
    <t xml:space="preserve">Un seul flux partitionné par pays au lieu de 7 recettes (×7) comme en phase 1.</t>
  </si>
  <si>
    <t xml:space="preserve">T2.2, T2.3</t>
  </si>
  <si>
    <t xml:space="preserve">Recette exécutée sur la photo réelle</t>
  </si>
  <si>
    <t xml:space="preserve">T2.5</t>
  </si>
  <si>
    <t xml:space="preserve">Tests unitaires + contrats GX Stage 1</t>
  </si>
  <si>
    <t xml:space="preserve">Standard phase 1.</t>
  </si>
  <si>
    <t xml:space="preserve">Tests verts ; contrats passants</t>
  </si>
  <si>
    <t xml:space="preserve">T2.6</t>
  </si>
  <si>
    <t xml:space="preserve">[CYCLES TEST] Stage 1</t>
  </si>
  <si>
    <t xml:space="preserve">~4 runs (voir onglet Analyse cycles test). Durée par run à confirmer au POC (T0.2).</t>
  </si>
  <si>
    <t xml:space="preserve">Sortie Stage 1 stable</t>
  </si>
  <si>
    <t xml:space="preserve">Sous-total LOT 2</t>
  </si>
  <si>
    <t xml:space="preserve">T3.1</t>
  </si>
  <si>
    <t xml:space="preserve">Lib business_rules.py — règles 4-6 (groupe, ordre, date du DD initial)</t>
  </si>
  <si>
    <t xml:space="preserve">Option B : tentatives précédentes cherchées dans les 15 mois de la photo ET dans les mois figés de DETAILS (conforme aux règles 4-6 du mapping). Calcul en une passe (tri par facture + date) au lieu du multi-pass ligne à ligne.</t>
  </si>
  <si>
    <t xml:space="preserve">Groupes/ordres conformes aux exemples des slides 15-17 (session 1)</t>
  </si>
  <si>
    <t xml:space="preserve">T3.2</t>
  </si>
  <si>
    <t xml:space="preserve">Règles 7-12 : les 6 flags</t>
  </si>
  <si>
    <t xml:space="preserve">Ordre 1 / 2 / 3 × émis / en échec. Ordre &gt; 3 non flagué (validé métier).</t>
  </si>
  <si>
    <t xml:space="preserve">Flags conformes sur jeu de test</t>
  </si>
  <si>
    <t xml:space="preserve">T3.3</t>
  </si>
  <si>
    <t xml:space="preserve">Fenêtre de recalcul M-5 → M + colonnes de traçabilité</t>
  </si>
  <si>
    <t xml:space="preserve">Ne garder que les lignes émises entre M-5 et M ; colonnes mois de la photo + date du run.</t>
  </si>
  <si>
    <t xml:space="preserve">Seuls les 6 mois de la fenêtre sont produits</t>
  </si>
  <si>
    <t xml:space="preserve">T3.4</t>
  </si>
  <si>
    <t xml:space="preserve">Tests unitaires — jeux séquentiels</t>
  </si>
  <si>
    <t xml:space="preserve">Cas : groupe sur plusieurs mois, frontière de fenêtre, échec tardif (5 mois), suppression logique ('L'), redépôt, facture déjà connue dans les mois figés.</t>
  </si>
  <si>
    <t xml:space="preserve">Tous les cas listés testés et verts</t>
  </si>
  <si>
    <t xml:space="preserve">T3.5</t>
  </si>
  <si>
    <t xml:space="preserve">[CYCLES TEST] Stage 2</t>
  </si>
  <si>
    <t xml:space="preserve">~5 runs : règles 4-6 = bugs subtils visibles uniquement en run complet.</t>
  </si>
  <si>
    <t xml:space="preserve">Sortie Stage 2 stable</t>
  </si>
  <si>
    <t xml:space="preserve">T3.6</t>
  </si>
  <si>
    <t xml:space="preserve">Scénario BUILD_DESIGN + test bout en bout design</t>
  </si>
  <si>
    <t xml:space="preserve">Enchaînement Stage 1 → Stage 2.</t>
  </si>
  <si>
    <t xml:space="preserve">Scénario exécuté sans erreur</t>
  </si>
  <si>
    <t xml:space="preserve">Sous-total LOT 3</t>
  </si>
  <si>
    <t xml:space="preserve">T4.1</t>
  </si>
  <si>
    <t xml:space="preserve">Tables PostgreSQL DETAILS + DETAILS_TMP + index</t>
  </si>
  <si>
    <t xml:space="preserve">Index pays + mois d'émission.</t>
  </si>
  <si>
    <t xml:space="preserve">Tables créées ; index en place</t>
  </si>
  <si>
    <t xml:space="preserve">T4.2</t>
  </si>
  <si>
    <t xml:space="preserve">Recette d'écriture DETAILS_TMP (fenêtre de 6 mois)</t>
  </si>
  <si>
    <t xml:space="preserve">Table de préparation non visible par Power BI.</t>
  </si>
  <si>
    <t xml:space="preserve">T3.6, T4.1</t>
  </si>
  <si>
    <t xml:space="preserve">DETAILS_TMP alimentée</t>
  </si>
  <si>
    <t xml:space="preserve">T4.3</t>
  </si>
  <si>
    <t xml:space="preserve">Contrôles qualité avant publication</t>
  </si>
  <si>
    <t xml:space="preserve">Doublons sur la clé, colonnes obligatoires, volumes par pays/mois vs run précédent (seuil). Échec = arrêt, rien publié.</t>
  </si>
  <si>
    <t xml:space="preserve">Contrôles bloquants testés (cas OK et KO)</t>
  </si>
  <si>
    <t xml:space="preserve">T4.4</t>
  </si>
  <si>
    <t xml:space="preserve">Publication en transaction (Execute SQL)</t>
  </si>
  <si>
    <t xml:space="preserve">Suppression des mois M-5 → M de DETAILS + insertion depuis DETAILS_TMP, tout ou rien.</t>
  </si>
  <si>
    <t xml:space="preserve">Relance = même résultat (idempotence vérifiée)</t>
  </si>
  <si>
    <t xml:space="preserve">T4.5</t>
  </si>
  <si>
    <t xml:space="preserve">Purge &gt; 4 ans</t>
  </si>
  <si>
    <t xml:space="preserve">Conservation 4 ans glissants (note d'historisation).</t>
  </si>
  <si>
    <t xml:space="preserve">Purge testée</t>
  </si>
  <si>
    <t xml:space="preserve">T4.6</t>
  </si>
  <si>
    <t xml:space="preserve">Tests + [CYCLES TEST] DETAILS</t>
  </si>
  <si>
    <t xml:space="preserve">DETAILS validée sur photo réelle</t>
  </si>
  <si>
    <t xml:space="preserve">Sous-total LOT 4</t>
  </si>
  <si>
    <t xml:space="preserve">T5.1</t>
  </si>
  <si>
    <t xml:space="preserve">KPI en SQL : 7 axes, compteurs, montants, taux — fenêtre 6 mois</t>
  </si>
  <si>
    <t xml:space="preserve">Annule &amp; Remplace des 6 derniers mois (conforme note d'historisation), plus de recalcul complet.</t>
  </si>
  <si>
    <t xml:space="preserve">KPI recoupés avec DETAILS</t>
  </si>
  <si>
    <t xml:space="preserve">T5.2</t>
  </si>
  <si>
    <t xml:space="preserve">Reprise unique des KPI phase 1 (&lt; février 2026)</t>
  </si>
  <si>
    <t xml:space="preserve">Union des 7 tables xx_var_stats (PostgreSQL phase 1) → schéma cible, ajustement de la colonne qui diffère, colonne SOURCE. Pas de backfill 48 mois depuis les sources.</t>
  </si>
  <si>
    <t xml:space="preserve">Historique ≥ 4 ans disponible dans KPI</t>
  </si>
  <si>
    <t xml:space="preserve">T5.3</t>
  </si>
  <si>
    <t xml:space="preserve">Publication KPI (KPI_TMP + remplacement atomique)</t>
  </si>
  <si>
    <t xml:space="preserve">Power BI ne voit jamais un état intermédiaire.</t>
  </si>
  <si>
    <t xml:space="preserve">Publication testée</t>
  </si>
  <si>
    <t xml:space="preserve">T5.4</t>
  </si>
  <si>
    <t xml:space="preserve">Tests + [CYCLES TEST] KPI</t>
  </si>
  <si>
    <t xml:space="preserve">Recoupement KPI ↔ DETAILS, continuité phase 1 / phase 2 à février 2026.</t>
  </si>
  <si>
    <t xml:space="preserve">KPI validés sur photo réelle</t>
  </si>
  <si>
    <t xml:space="preserve">Sous-total LOT 5</t>
  </si>
  <si>
    <t xml:space="preserve">T6.1</t>
  </si>
  <si>
    <t xml:space="preserve">Scénario mensuel chaîné (DATASET → DESIGN → PRODUCT)</t>
  </si>
  <si>
    <t xml:space="preserve">Déclencheur temporel à jour fixe après le 7 du mois, variable mois photo (comme DAILY_CHECK → BUILD_* en phase 1).</t>
  </si>
  <si>
    <t xml:space="preserve">Run mensuel complet déclenché automatiquement</t>
  </si>
  <si>
    <t xml:space="preserve">T6.2</t>
  </si>
  <si>
    <t xml:space="preserve">Journal des runs + détection de redépôt</t>
  </si>
  <si>
    <t xml:space="preserve">Mois photo, date de dépôt de chaque fichier, volumes, statut.</t>
  </si>
  <si>
    <t xml:space="preserve">Journal alimenté à chaque run</t>
  </si>
  <si>
    <t xml:space="preserve">T6.3</t>
  </si>
  <si>
    <t xml:space="preserve">Alertes (succès / échec / photo incomplète / contrôle KO)</t>
  </si>
  <si>
    <t xml:space="preserve">Étape Send message des scénarios.</t>
  </si>
  <si>
    <t xml:space="preserve">Alertes reçues dans chaque cas</t>
  </si>
  <si>
    <t xml:space="preserve">T6.4</t>
  </si>
  <si>
    <t xml:space="preserve">Mode rejeu / reconstruction</t>
  </si>
  <si>
    <t xml:space="preserve">Rejeu d'un mois donné ; rejeu chronologique d'une plage de photos (reconstruction).</t>
  </si>
  <si>
    <t xml:space="preserve">Reconstruction d'une plage testée</t>
  </si>
  <si>
    <t xml:space="preserve">T6.5</t>
  </si>
  <si>
    <t xml:space="preserve">Tests bout en bout + performance sur volumétrie réelle</t>
  </si>
  <si>
    <t xml:space="preserve">T5.4, T6.4</t>
  </si>
  <si>
    <t xml:space="preserve">Durée du run mensuel mesurée et acceptée</t>
  </si>
  <si>
    <t xml:space="preserve">Sous-total LOT 6</t>
  </si>
  <si>
    <t xml:space="preserve">T7.1</t>
  </si>
  <si>
    <t xml:space="preserve">Rejeu des photos juillet → septembre 2026 (et suivantes disponibles)</t>
  </si>
  <si>
    <t xml:space="preserve">Première photo : juillet 2026 → février à juillet 2026 créés, puis rejeu chronologique.</t>
  </si>
  <si>
    <t xml:space="preserve">DETAILS et KPI remplis depuis février 2026</t>
  </si>
  <si>
    <t xml:space="preserve">T7.2</t>
  </si>
  <si>
    <t xml:space="preserve">Vérifications de cohérence février → septembre 2026</t>
  </si>
  <si>
    <t xml:space="preserve">Volumes et continuité validés</t>
  </si>
  <si>
    <t xml:space="preserve">Sous-total LOT 7</t>
  </si>
  <si>
    <t xml:space="preserve">T8.1</t>
  </si>
  <si>
    <t xml:space="preserve">Comparaison phase 1 / phase 2 sur les mois communs + analyse des écarts</t>
  </si>
  <si>
    <t xml:space="preserve">Phase 1 toujours en production : comparaison à partir de février 2026. Écarts attendus (nouvelle logique de comptage) à expliquer.</t>
  </si>
  <si>
    <t xml:space="preserve">Écarts expliqués et validés par le métier</t>
  </si>
  <si>
    <t xml:space="preserve">T8.2</t>
  </si>
  <si>
    <t xml:space="preserve">Support métier pendant la recette</t>
  </si>
  <si>
    <t xml:space="preserve">PV de recette</t>
  </si>
  <si>
    <t xml:space="preserve">T8.3</t>
  </si>
  <si>
    <t xml:space="preserve">Corrections post-recette</t>
  </si>
  <si>
    <t xml:space="preserve">Chaque correction = nouveau cycle de test.</t>
  </si>
  <si>
    <t xml:space="preserve">Anomalies bloquantes corrigées</t>
  </si>
  <si>
    <t xml:space="preserve">Sous-total LOT 8</t>
  </si>
  <si>
    <t xml:space="preserve">T9.1</t>
  </si>
  <si>
    <t xml:space="preserve">Architecture &amp; mécanisme (fenêtre 6 mois, rejeu, reprise phase 1)</t>
  </si>
  <si>
    <t xml:space="preserve">Document publié</t>
  </si>
  <si>
    <t xml:space="preserve">T9.2</t>
  </si>
  <si>
    <t xml:space="preserve">Guide d'exploitation (redépôt, photo incomplète, reconstruction)</t>
  </si>
  <si>
    <t xml:space="preserve">Guide publié</t>
  </si>
  <si>
    <t xml:space="preserve">Sous-total LOT 9</t>
  </si>
  <si>
    <t xml:space="preserve">T10.1</t>
  </si>
  <si>
    <t xml:space="preserve">Points d'avancement &amp; coordination</t>
  </si>
  <si>
    <t xml:space="preserve">Réparti sur toute la durée.</t>
  </si>
  <si>
    <t xml:space="preserve">Sous-total LOT 10</t>
  </si>
  <si>
    <t xml:space="preserve">T11.1</t>
  </si>
  <si>
    <t xml:space="preserve">Évolution des specs suite aux points ouverts</t>
  </si>
  <si>
    <t xml:space="preserve">Marge volontairement réduite : voir onglet Hypothèses &amp; risques.</t>
  </si>
  <si>
    <t xml:space="preserve">T11.2</t>
  </si>
  <si>
    <t xml:space="preserve">Edge cases données (CSV, encodage, valeurs inattendues)</t>
  </si>
  <si>
    <t xml:space="preserve">Sous-total LOT 11</t>
  </si>
  <si>
    <t xml:space="preserve">Légende : charges en bleu = valeurs saisies (modifiables) ; sous-totaux et totaux = formules. Lignes jaunes = cycles de test pipeline.</t>
  </si>
  <si>
    <t xml:space="preserve">PLANNING — COR PHASE 2 (v5) — semaines S1 à S11 (≈ 2,5 mois)</t>
  </si>
  <si>
    <t xml:space="preserve">Date de démarrage (lundi) :</t>
  </si>
  <si>
    <t xml:space="preserve">Lot / Tâche</t>
  </si>
  <si>
    <t xml:space="preserve">Sem. début</t>
  </si>
  <si>
    <t xml:space="preserve">Sem. fin</t>
  </si>
  <si>
    <t xml:space="preserve">S1</t>
  </si>
  <si>
    <t xml:space="preserve">S2</t>
  </si>
  <si>
    <t xml:space="preserve">S3</t>
  </si>
  <si>
    <t xml:space="preserve">S4</t>
  </si>
  <si>
    <t xml:space="preserve">S5</t>
  </si>
  <si>
    <t xml:space="preserve">S6</t>
  </si>
  <si>
    <t xml:space="preserve">S7</t>
  </si>
  <si>
    <t xml:space="preserve">S8</t>
  </si>
  <si>
    <t xml:space="preserve">S9</t>
  </si>
  <si>
    <t xml:space="preserve">S10</t>
  </si>
  <si>
    <t xml:space="preserve">S11</t>
  </si>
  <si>
    <t xml:space="preserve">Début de semaine →</t>
  </si>
  <si>
    <t xml:space="preserve">Légende : bleu foncé = Data Engineer ; vert = MLOps ; bleu clair = étendue du lot. Semaines début / fin en bleu = modifiables (le diagramme se met à jour).</t>
  </si>
  <si>
    <t xml:space="preserve">Chemin critique : POC → DATASET → DESIGN Stage 1 → Stage 2 → DETAILS → KPI → Démarrage → Recette. Le MLOps travaille en parallèle à partir de S6 (scénario design disponible). Charge Data Engineer ≈ 4 à 5 j par semaine.</t>
  </si>
  <si>
    <t xml:space="preserve">S11 = semaine tampon (marge LOT 11). La gestion de projet (LOT 10) est répartie sur toute la durée.</t>
  </si>
  <si>
    <t xml:space="preserve">ÉCARTS ENTRE LE CHIFFRAGE v4 (Option C) ET LE CHIFFRAGE v5</t>
  </si>
  <si>
    <t xml:space="preserve">Thème</t>
  </si>
  <si>
    <t xml:space="preserve">v4 (j)</t>
  </si>
  <si>
    <t xml:space="preserve">v5 (j)</t>
  </si>
  <si>
    <t xml:space="preserve">Écart (j)</t>
  </si>
  <si>
    <t xml:space="preserve">Raison du changement</t>
  </si>
  <si>
    <t xml:space="preserve">Nouveau lot : vérifier une vraie photo DCP et mesurer Spark / PostgreSQL avant de développer (en v4, l'analyse specs était répartie dans les lots 1, 2 et 10).</t>
  </si>
  <si>
    <t xml:space="preserve">COR_dataset</t>
  </si>
  <si>
    <t xml:space="preserve">Datasets du data engineer réutilisés (pointent déjà sur DCP, colonnes définies). Un seul flux pour 7 pays au lieu de 7 recettes.</t>
  </si>
  <si>
    <t xml:space="preserve">COR_design — jointures &amp; règles 1-3 (v4 : lots 2 + 3)</t>
  </si>
  <si>
    <t xml:space="preserve">Flux unique au lieu de ×7 ; moins de cycles de test (1 photo par run).</t>
  </si>
  <si>
    <t xml:space="preserve">COR_design — règles 4-12 (v4 : lot 4)</t>
  </si>
  <si>
    <t xml:space="preserve">Calcul en une passe (tri par facture) au lieu du multi-pass ligne à ligne ; fenêtre de 6 mois ajoutée ; flux unique.</t>
  </si>
  <si>
    <t xml:space="preserve">COR_product — DETAILS (v4 : lot 5)</t>
  </si>
  <si>
    <t xml:space="preserve">Ajout des contrôles avant publication et de la publication en transaction ; flux unique.</t>
  </si>
  <si>
    <t xml:space="preserve">COR_product — KPI &amp; historisation (v4 : lot 6)</t>
  </si>
  <si>
    <t xml:space="preserve">Suppression du backfill 48 mois × 7 pays (~1,85 Md lignes) : photos DCP disponibles seulement depuis juillet 2026 → reprise unique des KPI phase 1. Annule &amp; Remplace 6 mois au lieu d'un mécanisme par mois avec checkpoints.</t>
  </si>
  <si>
    <t xml:space="preserve">MLOps &amp; orchestration (v4 : lot 7)</t>
  </si>
  <si>
    <t xml:space="preserve">Déploiement multi-environnements hors périmètre. Ajout du journal des runs et du mode rejeu / reconstruction.</t>
  </si>
  <si>
    <t xml:space="preserve">Nouveau : rejeu des photos juillet → septembre 2026 (remplace le backfill).</t>
  </si>
  <si>
    <t xml:space="preserve">Recette fonctionnelle (v4 : lot 8)</t>
  </si>
  <si>
    <t xml:space="preserve">Recette centrée sur la comparaison phase 1 / phase 2 sur les mois communs.</t>
  </si>
  <si>
    <t xml:space="preserve">Documentation (v4 : lot 9)</t>
  </si>
  <si>
    <t xml:space="preserve">Un seul flux à documenter au lieu de 7.</t>
  </si>
  <si>
    <t xml:space="preserve">Gestion de projet (v4 : lot 10)</t>
  </si>
  <si>
    <t xml:space="preserve">Analyse des specs et cadrage déjà réalisés (conception validée) ; reste le suivi.</t>
  </si>
  <si>
    <t xml:space="preserve">Évolution specs &amp; marge (v4 : lot 11)</t>
  </si>
  <si>
    <t xml:space="preserve">Marge réduite pour tenir 2,5 mois : risque assumé, voir onglet Hypothèses &amp; risques.</t>
  </si>
  <si>
    <t xml:space="preserve">TOTAL</t>
  </si>
  <si>
    <t xml:space="preserve">Source v4 : Chiffrage_COR_Phase2_OptionC_v4.xlsx (onglet Synthèse).</t>
  </si>
  <si>
    <t xml:space="preserve">ANALYSE — Cycles de test pipeline (v5)</t>
  </si>
  <si>
    <t xml:space="preserve">Lot / Stage</t>
  </si>
  <si>
    <t xml:space="preserve">Nb runs estimés</t>
  </si>
  <si>
    <t xml:space="preserve">Durée moy/run</t>
  </si>
  <si>
    <t xml:space="preserve">Justification</t>
  </si>
  <si>
    <t xml:space="preserve">LOT 1 — DATASET (1 flux)</t>
  </si>
  <si>
    <t xml:space="preserve">~3 runs</t>
  </si>
  <si>
    <t xml:space="preserve">à mesurer (T0.2)</t>
  </si>
  <si>
    <t xml:space="preserve">Lecture + contrôle de complétude + filtres sur une photo réelle.</t>
  </si>
  <si>
    <t xml:space="preserve">LOT 2 — Stage 1 (1 flux)</t>
  </si>
  <si>
    <t xml:space="preserve">~4 runs</t>
  </si>
  <si>
    <t xml:space="preserve">Jointures : erreurs de clés, nulls, types.</t>
  </si>
  <si>
    <t xml:space="preserve">LOT 3 — Stage 2 (1 flux)</t>
  </si>
  <si>
    <t xml:space="preserve">~5 runs</t>
  </si>
  <si>
    <t xml:space="preserve">Règles 4-6 : bugs subtils visibles uniquement en run complet.</t>
  </si>
  <si>
    <t xml:space="preserve">LOT 4 — DETAILS</t>
  </si>
  <si>
    <t xml:space="preserve">~2 runs</t>
  </si>
  <si>
    <t xml:space="preserve">Écriture + publication + contrôles.</t>
  </si>
  <si>
    <t xml:space="preserve">LOT 5 — KPI</t>
  </si>
  <si>
    <t xml:space="preserve">Validation des agrégations et de la continuité avec la phase 1.</t>
  </si>
  <si>
    <t xml:space="preserve">LOT 6 — Bout en bout</t>
  </si>
  <si>
    <t xml:space="preserve">Scénario mensuel complet + mesure de performance.</t>
  </si>
  <si>
    <t xml:space="preserve">TOTAL cycles de test</t>
  </si>
  <si>
    <t xml:space="preserve">Note : en v4 un run durait 2 à 5 h (pipeline phase 1, ×7 pays). En v5 un run traite une seule photo (~25 M lignes, 7 pays) en PySpark : la durée réelle sera mesurée au POC (T0.2). Pendant le développement, travailler sur un pays ou un échantillon réduit pour raccourcir les cycles.</t>
  </si>
  <si>
    <t xml:space="preserve">HYPOTHÈSES, POINTS À CONFIRMER ET RISQUES</t>
  </si>
  <si>
    <t xml:space="preserve">Hypothèse / risque</t>
  </si>
  <si>
    <t xml:space="preserve">Impact (j)</t>
  </si>
  <si>
    <t xml:space="preserve">Si l'hypothèse tombe</t>
  </si>
  <si>
    <t xml:space="preserve">Levée / mitigation</t>
  </si>
  <si>
    <t xml:space="preserve">H1</t>
  </si>
  <si>
    <t xml:space="preserve">Un seul flux Dataiku pour les 7 pays (écart au standard phase 1 : 7 recettes par étape).</t>
  </si>
  <si>
    <t xml:space="preserve">+6 à +8</t>
  </si>
  <si>
    <t xml:space="preserve">Retour à 7 recettes par étape : recettes, tests et cycles multipliés.</t>
  </si>
  <si>
    <t xml:space="preserve">Validation du chef de projet avant démarrage.</t>
  </si>
  <si>
    <t xml:space="preserve">H2</t>
  </si>
  <si>
    <t xml:space="preserve">Règles 4-6 en option B (photo 15 mois + mois figés de DETAILS).</t>
  </si>
  <si>
    <t xml:space="preserve">-1</t>
  </si>
  <si>
    <t xml:space="preserve">Option A (photo seule) si le métier garantit qu'aucun prélèvement n'arrive &gt; 15 mois après le premier.</t>
  </si>
  <si>
    <t xml:space="preserve">Atelier métier T0.4.</t>
  </si>
  <si>
    <t xml:space="preserve">H3</t>
  </si>
  <si>
    <t xml:space="preserve">Photos DCP conservées sans limite et jamais modifiées (hors redépôt).</t>
  </si>
  <si>
    <t xml:space="preserve">+5 à +8</t>
  </si>
  <si>
    <t xml:space="preserve">Il faudrait une copie de l'historique dans DLP (couche intermédiaire).</t>
  </si>
  <si>
    <t xml:space="preserve">Engagement écrit de DCP.</t>
  </si>
  <si>
    <t xml:space="preserve">H4</t>
  </si>
  <si>
    <t xml:space="preserve">La photo contient 15 mois de prélèvements et 6 mois d'échecs (slides 8-10, session 1).</t>
  </si>
  <si>
    <t xml:space="preserve">+2 à +4</t>
  </si>
  <si>
    <t xml:space="preserve">Si moins de 11 mois de prélèvements : lecture obligatoire des mois figés de DETAILS pour toutes les tentatives.</t>
  </si>
  <si>
    <t xml:space="preserve">Vérification T0.1.</t>
  </si>
  <si>
    <t xml:space="preserve">H5</t>
  </si>
  <si>
    <t xml:space="preserve">KPI phase 1 disponibles ≥ 4 ans en PostgreSQL ; une seule colonne diffère.</t>
  </si>
  <si>
    <t xml:space="preserve">+1 à +3</t>
  </si>
  <si>
    <t xml:space="preserve">Mapping de reprise plus lourd.</t>
  </si>
  <si>
    <t xml:space="preserve">Analyse des 7 tables xx_var_stats en T5.2.</t>
  </si>
  <si>
    <t xml:space="preserve">H6</t>
  </si>
  <si>
    <t xml:space="preserve">Déploiement et environnements hors périmètre.</t>
  </si>
  <si>
    <t xml:space="preserve">+2 à +3</t>
  </si>
  <si>
    <t xml:space="preserve">Chiffrage v4 : 1 j de configuration multi-env + tests.</t>
  </si>
  <si>
    <t xml:space="preserve">Confirmé par le demandeur.</t>
  </si>
  <si>
    <t xml:space="preserve">H7</t>
  </si>
  <si>
    <t xml:space="preserve">Durée d'un run compatible avec ~19 cycles de test (voir Analyse cycles test).</t>
  </si>
  <si>
    <t xml:space="preserve">+2 à +5</t>
  </si>
  <si>
    <t xml:space="preserve">Run trop long → moins d'itérations par jour.</t>
  </si>
  <si>
    <t xml:space="preserve">Mesure au POC (T0.2) ; dev sur échantillon.</t>
  </si>
  <si>
    <t xml:space="preserve">H8</t>
  </si>
  <si>
    <t xml:space="preserve">21 jours ouvrés par mois ; 1 Data Engineer senior à temps plein + 1 MLOps à temps partiel.</t>
  </si>
  <si>
    <t xml:space="preserve">Profil junior ou temps partiel → durée calendaire allongée.</t>
  </si>
  <si>
    <t xml:space="preserve">Affectation confirmée avant démarrage.</t>
  </si>
  <si>
    <t xml:space="preserve">R1</t>
  </si>
  <si>
    <t xml:space="preserve">Marge réduite à 3 j (v4 : 8 j) pour tenir 2,5 mois.</t>
  </si>
  <si>
    <t xml:space="preserve">Tout imprévu &gt; 3 j dépasse le plafond.</t>
  </si>
  <si>
    <t xml:space="preserve">Leviers : documentation réduite, recette en parallèle des corrections, MLOps en avance.</t>
  </si>
  <si>
    <t xml:space="preserve">R2</t>
  </si>
  <si>
    <t xml:space="preserve">Anomalies du mapping (règle 6 sur le mauvais champ, renvois des règles 9-12, formule du taux de succès, versionnement).</t>
  </si>
  <si>
    <t xml:space="preserve">+1 à +2</t>
  </si>
  <si>
    <t xml:space="preserve">Reprises de développement.</t>
  </si>
  <si>
    <t xml:space="preserve">R3</t>
  </si>
  <si>
    <t xml:space="preserve">Écarts phase 1 / phase 2 (nouvelle logique de comptage) difficiles à expliquer.</t>
  </si>
  <si>
    <t xml:space="preserve">Recette prolongée.</t>
  </si>
  <si>
    <t xml:space="preserve">Préparer l'analyse des écarts dès T7.2.</t>
  </si>
  <si>
    <t xml:space="preserve">R4</t>
  </si>
  <si>
    <t xml:space="preserve">Disponibilité du métier pendant la recette.</t>
  </si>
  <si>
    <t xml:space="preserve">Glissement calendaire.</t>
  </si>
  <si>
    <t xml:space="preserve">Réserver les créneaux de recette dès le démarrage.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</si>
</sst>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0.0%"/>
    <numFmt numFmtId="166" formatCode="0%"/>
    <numFmt numFmtId="167" formatCode="0.00"/>
    <numFmt numFmtId="168" formatCode="General"/>
    <numFmt numFmtId="169" formatCode="dd/mm/yyyy"/>
    <numFmt numFmtId="170" formatCode="dd/mm"/>
    <numFmt numFmtId="171" formatCode="0.0%&quot; du total&quot;"/>
  </numFmts>
  <fonts count="2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Calibri"/>
      <family val="0"/>
      <charset val="1"/>
    </font>
    <font>
      <sz val="9"/>
      <color rgb="FF1F3864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sz val="10"/>
      <color rgb="FF000000"/>
      <name val="Calibri"/>
      <family val="0"/>
      <charset val="1"/>
    </font>
    <font>
      <b val="true"/>
      <sz val="10"/>
      <color rgb="FF000000"/>
      <name val="Calibri"/>
      <family val="0"/>
      <charset val="1"/>
    </font>
    <font>
      <b val="true"/>
      <sz val="12"/>
      <color rgb="FFFFFFFF"/>
      <name val="Calibri"/>
      <family val="0"/>
      <charset val="1"/>
    </font>
    <font>
      <sz val="10"/>
      <color rgb="FF0000FF"/>
      <name val="Calibri"/>
      <family val="0"/>
      <charset val="1"/>
    </font>
    <font>
      <b val="true"/>
      <sz val="9"/>
      <color rgb="FF4D4D4D"/>
      <name val="Calibri"/>
      <family val="0"/>
      <charset val="1"/>
    </font>
    <font>
      <sz val="9"/>
      <color rgb="FF4D4D4D"/>
      <name val="Calibri"/>
      <family val="0"/>
      <charset val="1"/>
    </font>
    <font>
      <sz val="10"/>
      <name val="Arial"/>
      <family val="2"/>
    </font>
    <font>
      <sz val="10"/>
      <color rgb="FF8B4513"/>
      <name val="Calibri"/>
      <family val="0"/>
      <charset val="1"/>
    </font>
    <font>
      <i val="true"/>
      <sz val="9"/>
      <color rgb="FF4D4D4D"/>
      <name val="Calibri"/>
      <family val="0"/>
      <charset val="1"/>
    </font>
    <font>
      <b val="true"/>
      <sz val="10"/>
      <color rgb="FF0000FF"/>
      <name val="Calibri"/>
      <family val="0"/>
      <charset val="1"/>
    </font>
    <font>
      <sz val="1"/>
      <color rgb="FFFFFFFF"/>
      <name val="Calibri"/>
      <family val="0"/>
      <charset val="1"/>
    </font>
    <font>
      <sz val="8"/>
      <color rgb="FFFFFFFF"/>
      <name val="Calibri"/>
      <family val="0"/>
      <charset val="1"/>
    </font>
    <font>
      <sz val="9"/>
      <color rgb="FF000000"/>
      <name val="Calibri"/>
      <family val="0"/>
      <charset val="1"/>
    </font>
    <font>
      <sz val="9"/>
      <color rgb="FF0000FF"/>
      <name val="Calibri"/>
      <family val="0"/>
      <charset val="1"/>
    </font>
    <font>
      <b val="true"/>
      <sz val="11"/>
      <color rgb="FFFFFFFF"/>
      <name val="Calibri"/>
      <family val="0"/>
      <charset val="1"/>
    </font>
  </fonts>
  <fills count="17">
    <fill>
      <patternFill patternType="none"/>
    </fill>
    <fill>
      <patternFill patternType="gray125"/>
    </fill>
    <fill>
      <patternFill patternType="solid">
        <fgColor rgb="FF1F3864"/>
        <bgColor rgb="FF154360"/>
      </patternFill>
    </fill>
    <fill>
      <patternFill patternType="solid">
        <fgColor rgb="FFD9E1F2"/>
        <bgColor rgb="FFDDEBF7"/>
      </patternFill>
    </fill>
    <fill>
      <patternFill patternType="solid">
        <fgColor rgb="FFBDD7EE"/>
        <bgColor rgb="FFD9D9D9"/>
      </patternFill>
    </fill>
    <fill>
      <patternFill patternType="solid">
        <fgColor rgb="FFE2EFDA"/>
        <bgColor rgb="FFDDEBF7"/>
      </patternFill>
    </fill>
    <fill>
      <patternFill patternType="solid">
        <fgColor rgb="FFF2F2F2"/>
        <bgColor rgb="FFE2EFDA"/>
      </patternFill>
    </fill>
    <fill>
      <patternFill patternType="solid">
        <fgColor rgb="FFD9D9D9"/>
        <bgColor rgb="FFD9E1F2"/>
      </patternFill>
    </fill>
    <fill>
      <patternFill patternType="solid">
        <fgColor rgb="FFFFFF00"/>
        <bgColor rgb="FFFFFF00"/>
      </patternFill>
    </fill>
    <fill>
      <patternFill patternType="solid">
        <fgColor rgb="FF2E75B6"/>
        <bgColor rgb="FF0066CC"/>
      </patternFill>
    </fill>
    <fill>
      <patternFill patternType="solid">
        <fgColor rgb="FFFFF9C4"/>
        <bgColor rgb="FFFFF2CC"/>
      </patternFill>
    </fill>
    <fill>
      <patternFill patternType="solid">
        <fgColor rgb="FF154360"/>
        <bgColor rgb="FF1F3864"/>
      </patternFill>
    </fill>
    <fill>
      <patternFill patternType="solid">
        <fgColor rgb="FFDDEBF7"/>
        <bgColor rgb="FFD9E1F2"/>
      </patternFill>
    </fill>
    <fill>
      <patternFill patternType="solid">
        <fgColor rgb="FFC55A11"/>
        <bgColor rgb="FF8B4513"/>
      </patternFill>
    </fill>
    <fill>
      <patternFill patternType="solid">
        <fgColor rgb="FFFCE4D6"/>
        <bgColor rgb="FFFFF2CC"/>
      </patternFill>
    </fill>
    <fill>
      <patternFill patternType="solid">
        <fgColor rgb="FFFFFFFF"/>
        <bgColor rgb="FFF2F2F2"/>
      </patternFill>
    </fill>
    <fill>
      <patternFill patternType="solid">
        <fgColor rgb="FFFFF2CC"/>
        <bgColor rgb="FFFFF9C4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7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7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6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7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7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7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2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9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8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8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8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9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1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6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11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0" fontId="18" fillId="1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2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9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0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7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7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2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21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1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9" fillId="1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1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9" fillId="1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8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9" fillId="1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9" fillId="1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1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rgb="FF2E75B6"/>
        </patternFill>
      </fill>
    </dxf>
    <dxf>
      <fill>
        <patternFill>
          <bgColor rgb="FF70AD47"/>
        </patternFill>
      </fill>
    </dxf>
    <dxf>
      <fill>
        <patternFill>
          <bgColor rgb="FF9DC3E6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9C4"/>
      <rgbColor rgb="FFDDEBF7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EFDA"/>
      <rgbColor rgb="FFFFF2CC"/>
      <rgbColor rgb="FF9DC3E6"/>
      <rgbColor rgb="FFD9E1F2"/>
      <rgbColor rgb="FFD9D9D9"/>
      <rgbColor rgb="FFFCE4D6"/>
      <rgbColor rgb="FF2E75B6"/>
      <rgbColor rgb="FF33CCCC"/>
      <rgbColor rgb="FF99CC00"/>
      <rgbColor rgb="FFFFCC00"/>
      <rgbColor rgb="FFFF9900"/>
      <rgbColor rgb="FFC55A11"/>
      <rgbColor rgb="FF4D4D4D"/>
      <rgbColor rgb="FF70AD47"/>
      <rgbColor rgb="FF154360"/>
      <rgbColor rgb="FF339966"/>
      <rgbColor rgb="FF003300"/>
      <rgbColor rgb="FF333300"/>
      <rgbColor rgb="FF8B4513"/>
      <rgbColor rgb="FF993366"/>
      <rgbColor rgb="FF333399"/>
      <rgbColor rgb="FF1F386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2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52"/>
    <col collapsed="false" customWidth="true" hidden="false" outlineLevel="0" max="3" min="3" style="0" width="18"/>
    <col collapsed="false" customWidth="true" hidden="false" outlineLevel="0" max="5" min="4" style="0" width="14"/>
  </cols>
  <sheetData>
    <row r="1" customFormat="false" ht="16.15" hidden="false" customHeight="false" outlineLevel="0" collapsed="false">
      <c r="A1" s="1" t="s">
        <v>0</v>
      </c>
      <c r="B1" s="1"/>
      <c r="C1" s="1"/>
      <c r="D1" s="1"/>
      <c r="E1" s="1"/>
    </row>
    <row r="2" customFormat="false" ht="25.5" hidden="false" customHeight="true" outlineLevel="0" collapsed="false">
      <c r="A2" s="2" t="s">
        <v>1</v>
      </c>
      <c r="B2" s="2"/>
      <c r="C2" s="2"/>
      <c r="D2" s="2"/>
      <c r="E2" s="2"/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 customFormat="false" ht="15" hidden="false" customHeight="false" outlineLevel="0" collapsed="false">
      <c r="A5" s="4" t="s">
        <v>7</v>
      </c>
      <c r="B5" s="5" t="s">
        <v>8</v>
      </c>
      <c r="C5" s="4" t="s">
        <v>9</v>
      </c>
      <c r="D5" s="4" t="n">
        <f aca="false">'Détail charges'!E9</f>
        <v>4</v>
      </c>
      <c r="E5" s="6" t="n">
        <f aca="false">IF(D20=0,0,D5/D20)</f>
        <v>0.0761904761904762</v>
      </c>
    </row>
    <row r="6" customFormat="false" ht="15" hidden="false" customHeight="false" outlineLevel="0" collapsed="false">
      <c r="A6" s="4" t="s">
        <v>10</v>
      </c>
      <c r="B6" s="5" t="s">
        <v>11</v>
      </c>
      <c r="C6" s="4" t="s">
        <v>9</v>
      </c>
      <c r="D6" s="4" t="n">
        <f aca="false">'Détail charges'!E18</f>
        <v>5.5</v>
      </c>
      <c r="E6" s="6" t="n">
        <f aca="false">IF(D20=0,0,D6/D20)</f>
        <v>0.104761904761905</v>
      </c>
    </row>
    <row r="7" customFormat="false" ht="15" hidden="false" customHeight="false" outlineLevel="0" collapsed="false">
      <c r="A7" s="4" t="s">
        <v>12</v>
      </c>
      <c r="B7" s="5" t="s">
        <v>13</v>
      </c>
      <c r="C7" s="4" t="s">
        <v>9</v>
      </c>
      <c r="D7" s="4" t="n">
        <f aca="false">'Détail charges'!E27</f>
        <v>5.5</v>
      </c>
      <c r="E7" s="6" t="n">
        <f aca="false">IF(D20=0,0,D7/D20)</f>
        <v>0.104761904761905</v>
      </c>
    </row>
    <row r="8" customFormat="false" ht="15" hidden="false" customHeight="false" outlineLevel="0" collapsed="false">
      <c r="A8" s="4" t="s">
        <v>14</v>
      </c>
      <c r="B8" s="5" t="s">
        <v>15</v>
      </c>
      <c r="C8" s="4" t="s">
        <v>9</v>
      </c>
      <c r="D8" s="4" t="n">
        <f aca="false">'Détail charges'!E36</f>
        <v>9</v>
      </c>
      <c r="E8" s="6" t="n">
        <f aca="false">IF(D20=0,0,D8/D20)</f>
        <v>0.171428571428571</v>
      </c>
    </row>
    <row r="9" customFormat="false" ht="15" hidden="false" customHeight="false" outlineLevel="0" collapsed="false">
      <c r="A9" s="4" t="s">
        <v>16</v>
      </c>
      <c r="B9" s="5" t="s">
        <v>17</v>
      </c>
      <c r="C9" s="4" t="s">
        <v>9</v>
      </c>
      <c r="D9" s="4" t="n">
        <f aca="false">'Détail charges'!E45</f>
        <v>4</v>
      </c>
      <c r="E9" s="6" t="n">
        <f aca="false">IF(D20=0,0,D9/D20)</f>
        <v>0.0761904761904762</v>
      </c>
    </row>
    <row r="10" customFormat="false" ht="15" hidden="false" customHeight="false" outlineLevel="0" collapsed="false">
      <c r="A10" s="4" t="s">
        <v>18</v>
      </c>
      <c r="B10" s="5" t="s">
        <v>19</v>
      </c>
      <c r="C10" s="4" t="s">
        <v>9</v>
      </c>
      <c r="D10" s="4" t="n">
        <f aca="false">'Détail charges'!E52</f>
        <v>6</v>
      </c>
      <c r="E10" s="6" t="n">
        <f aca="false">IF(D20=0,0,D10/D20)</f>
        <v>0.114285714285714</v>
      </c>
    </row>
    <row r="11" customFormat="false" ht="15" hidden="false" customHeight="false" outlineLevel="0" collapsed="false">
      <c r="A11" s="7" t="s">
        <v>20</v>
      </c>
      <c r="B11" s="8" t="s">
        <v>21</v>
      </c>
      <c r="C11" s="7" t="s">
        <v>22</v>
      </c>
      <c r="D11" s="7" t="n">
        <f aca="false">'Détail charges'!E60</f>
        <v>5.5</v>
      </c>
      <c r="E11" s="9" t="n">
        <f aca="false">IF(D20=0,0,D11/D20)</f>
        <v>0.104761904761905</v>
      </c>
    </row>
    <row r="12" customFormat="false" ht="15" hidden="false" customHeight="false" outlineLevel="0" collapsed="false">
      <c r="A12" s="4" t="s">
        <v>23</v>
      </c>
      <c r="B12" s="5" t="s">
        <v>24</v>
      </c>
      <c r="C12" s="4" t="s">
        <v>9</v>
      </c>
      <c r="D12" s="4" t="n">
        <f aca="false">'Détail charges'!E65</f>
        <v>1.5</v>
      </c>
      <c r="E12" s="6" t="n">
        <f aca="false">IF(D20=0,0,D12/D20)</f>
        <v>0.0285714285714286</v>
      </c>
    </row>
    <row r="13" customFormat="false" ht="15" hidden="false" customHeight="false" outlineLevel="0" collapsed="false">
      <c r="A13" s="4" t="s">
        <v>25</v>
      </c>
      <c r="B13" s="5" t="s">
        <v>26</v>
      </c>
      <c r="C13" s="4" t="s">
        <v>9</v>
      </c>
      <c r="D13" s="4" t="n">
        <f aca="false">'Détail charges'!E71</f>
        <v>5.5</v>
      </c>
      <c r="E13" s="6" t="n">
        <f aca="false">IF(D20=0,0,D13/D20)</f>
        <v>0.104761904761905</v>
      </c>
    </row>
    <row r="14" customFormat="false" ht="15" hidden="false" customHeight="false" outlineLevel="0" collapsed="false">
      <c r="A14" s="10" t="s">
        <v>27</v>
      </c>
      <c r="B14" s="11" t="s">
        <v>28</v>
      </c>
      <c r="C14" s="10" t="s">
        <v>9</v>
      </c>
      <c r="D14" s="10" t="n">
        <f aca="false">'Détail charges'!E76</f>
        <v>1.5</v>
      </c>
      <c r="E14" s="12" t="n">
        <f aca="false">IF(D20=0,0,D14/D20)</f>
        <v>0.0285714285714286</v>
      </c>
    </row>
    <row r="15" customFormat="false" ht="15" hidden="false" customHeight="false" outlineLevel="0" collapsed="false">
      <c r="A15" s="10" t="s">
        <v>29</v>
      </c>
      <c r="B15" s="11" t="s">
        <v>30</v>
      </c>
      <c r="C15" s="10" t="s">
        <v>9</v>
      </c>
      <c r="D15" s="10" t="n">
        <f aca="false">'Détail charges'!E80</f>
        <v>1.5</v>
      </c>
      <c r="E15" s="12" t="n">
        <f aca="false">IF(D20=0,0,D15/D20)</f>
        <v>0.0285714285714286</v>
      </c>
    </row>
    <row r="16" customFormat="false" ht="15" hidden="false" customHeight="false" outlineLevel="0" collapsed="false">
      <c r="A16" s="10" t="s">
        <v>31</v>
      </c>
      <c r="B16" s="11" t="s">
        <v>32</v>
      </c>
      <c r="C16" s="10" t="s">
        <v>9</v>
      </c>
      <c r="D16" s="10" t="n">
        <f aca="false">'Détail charges'!E85</f>
        <v>3</v>
      </c>
      <c r="E16" s="12" t="n">
        <f aca="false">IF(D20=0,0,D16/D20)</f>
        <v>0.0571428571428571</v>
      </c>
    </row>
    <row r="18" customFormat="false" ht="15" hidden="false" customHeight="false" outlineLevel="0" collapsed="false">
      <c r="A18" s="13"/>
      <c r="B18" s="14" t="s">
        <v>33</v>
      </c>
      <c r="C18" s="15" t="s">
        <v>9</v>
      </c>
      <c r="D18" s="15" t="n">
        <f aca="false">SUMIF($C$5:$C$16,C18,$D$5:$D$16)</f>
        <v>47</v>
      </c>
      <c r="E18" s="16" t="n">
        <f aca="false">IF(D20=0,0,D18/D20)</f>
        <v>0.895238095238095</v>
      </c>
    </row>
    <row r="19" customFormat="false" ht="15" hidden="false" customHeight="false" outlineLevel="0" collapsed="false">
      <c r="A19" s="13"/>
      <c r="B19" s="14" t="s">
        <v>34</v>
      </c>
      <c r="C19" s="15" t="s">
        <v>22</v>
      </c>
      <c r="D19" s="15" t="n">
        <f aca="false">SUMIF($C$5:$C$16,C19,$D$5:$D$16)</f>
        <v>5.5</v>
      </c>
      <c r="E19" s="16" t="n">
        <f aca="false">IF(D20=0,0,D19/D20)</f>
        <v>0.104761904761905</v>
      </c>
    </row>
    <row r="20" customFormat="false" ht="15" hidden="false" customHeight="false" outlineLevel="0" collapsed="false">
      <c r="A20" s="17" t="s">
        <v>35</v>
      </c>
      <c r="B20" s="18" t="s">
        <v>36</v>
      </c>
      <c r="C20" s="17" t="s">
        <v>37</v>
      </c>
      <c r="D20" s="17" t="n">
        <f aca="false">SUM(D5:D16)</f>
        <v>52.5</v>
      </c>
      <c r="E20" s="19" t="n">
        <f aca="false">IF(D20=0,0,D20/D20)</f>
        <v>1</v>
      </c>
    </row>
    <row r="22" customFormat="false" ht="15" hidden="false" customHeight="false" outlineLevel="0" collapsed="false">
      <c r="B22" s="20" t="s">
        <v>38</v>
      </c>
      <c r="D22" s="21" t="n">
        <v>21</v>
      </c>
    </row>
    <row r="23" customFormat="false" ht="15" hidden="false" customHeight="false" outlineLevel="0" collapsed="false">
      <c r="B23" s="20" t="s">
        <v>39</v>
      </c>
      <c r="D23" s="21" t="n">
        <v>2.5</v>
      </c>
    </row>
    <row r="24" customFormat="false" ht="15" hidden="false" customHeight="false" outlineLevel="0" collapsed="false">
      <c r="B24" s="22" t="s">
        <v>40</v>
      </c>
      <c r="D24" s="23" t="n">
        <f aca="false">IF(D22=0,0,D20/D22)</f>
        <v>2.5</v>
      </c>
    </row>
    <row r="25" customFormat="false" ht="15" hidden="false" customHeight="false" outlineLevel="0" collapsed="false">
      <c r="B25" s="22" t="s">
        <v>41</v>
      </c>
      <c r="D25" s="23" t="n">
        <f aca="false">IF(D22=0,0,D18/D22)</f>
        <v>2.23809523809524</v>
      </c>
    </row>
    <row r="26" customFormat="false" ht="15" hidden="false" customHeight="false" outlineLevel="0" collapsed="false">
      <c r="B26" s="22" t="s">
        <v>42</v>
      </c>
      <c r="D26" s="24" t="n">
        <f aca="false">MAX(Planning!F:F)</f>
        <v>11</v>
      </c>
    </row>
    <row r="27" customFormat="false" ht="15" hidden="false" customHeight="false" outlineLevel="0" collapsed="false">
      <c r="B27" s="22" t="s">
        <v>43</v>
      </c>
      <c r="D27" s="24" t="str">
        <f aca="false">IF(D24&lt;=D23,"OK","DÉPASSEMENT")</f>
        <v>OK</v>
      </c>
    </row>
    <row r="29" customFormat="false" ht="15" hidden="false" customHeight="true" outlineLevel="0" collapsed="false">
      <c r="A29" s="25" t="s">
        <v>44</v>
      </c>
      <c r="B29" s="25"/>
      <c r="C29" s="25"/>
      <c r="D29" s="25"/>
      <c r="E29" s="25"/>
    </row>
    <row r="30" customFormat="false" ht="30" hidden="false" customHeight="true" outlineLevel="0" collapsed="false">
      <c r="A30" s="26" t="s">
        <v>45</v>
      </c>
      <c r="B30" s="26"/>
      <c r="C30" s="26"/>
      <c r="D30" s="26"/>
      <c r="E30" s="26"/>
    </row>
    <row r="31" customFormat="false" ht="30" hidden="false" customHeight="true" outlineLevel="0" collapsed="false">
      <c r="A31" s="26" t="s">
        <v>46</v>
      </c>
      <c r="B31" s="26"/>
      <c r="C31" s="26"/>
      <c r="D31" s="26"/>
      <c r="E31" s="26"/>
    </row>
    <row r="32" customFormat="false" ht="30" hidden="false" customHeight="true" outlineLevel="0" collapsed="false">
      <c r="A32" s="26" t="s">
        <v>47</v>
      </c>
      <c r="B32" s="26"/>
      <c r="C32" s="26"/>
      <c r="D32" s="26"/>
      <c r="E32" s="26"/>
    </row>
    <row r="33" customFormat="false" ht="30" hidden="false" customHeight="true" outlineLevel="0" collapsed="false">
      <c r="A33" s="26" t="s">
        <v>48</v>
      </c>
      <c r="B33" s="26"/>
      <c r="C33" s="26"/>
      <c r="D33" s="26"/>
      <c r="E33" s="26"/>
    </row>
    <row r="34" customFormat="false" ht="30" hidden="false" customHeight="true" outlineLevel="0" collapsed="false">
      <c r="A34" s="26" t="s">
        <v>49</v>
      </c>
      <c r="B34" s="26"/>
      <c r="C34" s="26"/>
      <c r="D34" s="26"/>
      <c r="E34" s="26"/>
    </row>
    <row r="35" customFormat="false" ht="30" hidden="false" customHeight="true" outlineLevel="0" collapsed="false">
      <c r="A35" s="26" t="s">
        <v>50</v>
      </c>
      <c r="B35" s="26"/>
      <c r="C35" s="26"/>
      <c r="D35" s="26"/>
      <c r="E35" s="26"/>
    </row>
    <row r="36" customFormat="false" ht="30" hidden="false" customHeight="true" outlineLevel="0" collapsed="false">
      <c r="A36" s="26" t="s">
        <v>51</v>
      </c>
      <c r="B36" s="26"/>
      <c r="C36" s="26"/>
      <c r="D36" s="26"/>
      <c r="E36" s="26"/>
    </row>
  </sheetData>
  <mergeCells count="10">
    <mergeCell ref="A1:E1"/>
    <mergeCell ref="A2:E2"/>
    <mergeCell ref="A29:E29"/>
    <mergeCell ref="A30:E30"/>
    <mergeCell ref="A31:E31"/>
    <mergeCell ref="A32:E32"/>
    <mergeCell ref="A33:E33"/>
    <mergeCell ref="A34:E34"/>
    <mergeCell ref="A35:E35"/>
    <mergeCell ref="A36:E3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8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8"/>
    <col collapsed="false" customWidth="true" hidden="false" outlineLevel="0" max="3" min="3" style="0" width="50"/>
    <col collapsed="false" customWidth="true" hidden="false" outlineLevel="0" max="4" min="4" style="0" width="15"/>
    <col collapsed="false" customWidth="true" hidden="false" outlineLevel="0" max="5" min="5" style="0" width="11"/>
    <col collapsed="false" customWidth="true" hidden="false" outlineLevel="0" max="6" min="6" style="0" width="62"/>
    <col collapsed="false" customWidth="true" hidden="false" outlineLevel="0" max="7" min="7" style="0" width="12"/>
    <col collapsed="false" customWidth="true" hidden="false" outlineLevel="0" max="8" min="8" style="0" width="40"/>
  </cols>
  <sheetData>
    <row r="1" customFormat="false" ht="15" hidden="false" customHeight="false" outlineLevel="0" collapsed="false">
      <c r="A1" s="27" t="s">
        <v>52</v>
      </c>
      <c r="B1" s="27"/>
      <c r="C1" s="27"/>
      <c r="D1" s="27"/>
      <c r="E1" s="27"/>
      <c r="F1" s="27"/>
      <c r="G1" s="27"/>
      <c r="H1" s="27"/>
    </row>
    <row r="3" customFormat="false" ht="15" hidden="false" customHeight="false" outlineLevel="0" collapsed="false">
      <c r="A3" s="3" t="s">
        <v>2</v>
      </c>
      <c r="B3" s="3" t="s">
        <v>53</v>
      </c>
      <c r="C3" s="3" t="s">
        <v>54</v>
      </c>
      <c r="D3" s="3" t="s">
        <v>4</v>
      </c>
      <c r="E3" s="3" t="s">
        <v>5</v>
      </c>
      <c r="F3" s="3" t="s">
        <v>55</v>
      </c>
      <c r="G3" s="3" t="s">
        <v>56</v>
      </c>
      <c r="H3" s="3" t="s">
        <v>57</v>
      </c>
    </row>
    <row r="4" customFormat="false" ht="15" hidden="false" customHeight="false" outlineLevel="0" collapsed="false">
      <c r="A4" s="28" t="s">
        <v>7</v>
      </c>
      <c r="B4" s="29" t="s">
        <v>8</v>
      </c>
      <c r="C4" s="29"/>
      <c r="D4" s="29"/>
      <c r="E4" s="28" t="n">
        <f aca="false">E9</f>
        <v>4</v>
      </c>
      <c r="F4" s="28"/>
      <c r="G4" s="28"/>
      <c r="H4" s="28"/>
    </row>
    <row r="5" customFormat="false" ht="35.05" hidden="false" customHeight="false" outlineLevel="0" collapsed="false">
      <c r="A5" s="4"/>
      <c r="B5" s="4" t="s">
        <v>58</v>
      </c>
      <c r="C5" s="30" t="s">
        <v>59</v>
      </c>
      <c r="D5" s="4" t="s">
        <v>9</v>
      </c>
      <c r="E5" s="31" t="n">
        <v>1</v>
      </c>
      <c r="F5" s="30" t="s">
        <v>60</v>
      </c>
      <c r="G5" s="4" t="s">
        <v>61</v>
      </c>
      <c r="H5" s="30" t="s">
        <v>62</v>
      </c>
    </row>
    <row r="6" customFormat="false" ht="23.85" hidden="false" customHeight="false" outlineLevel="0" collapsed="false">
      <c r="A6" s="4"/>
      <c r="B6" s="4" t="s">
        <v>63</v>
      </c>
      <c r="C6" s="30" t="s">
        <v>64</v>
      </c>
      <c r="D6" s="4" t="s">
        <v>9</v>
      </c>
      <c r="E6" s="31" t="n">
        <v>1</v>
      </c>
      <c r="F6" s="30" t="s">
        <v>65</v>
      </c>
      <c r="G6" s="4" t="s">
        <v>58</v>
      </c>
      <c r="H6" s="30" t="s">
        <v>66</v>
      </c>
    </row>
    <row r="7" customFormat="false" ht="23.85" hidden="false" customHeight="false" outlineLevel="0" collapsed="false">
      <c r="A7" s="4"/>
      <c r="B7" s="4" t="s">
        <v>67</v>
      </c>
      <c r="C7" s="30" t="s">
        <v>68</v>
      </c>
      <c r="D7" s="4" t="s">
        <v>9</v>
      </c>
      <c r="E7" s="31" t="n">
        <v>1</v>
      </c>
      <c r="F7" s="30" t="s">
        <v>69</v>
      </c>
      <c r="G7" s="4" t="s">
        <v>63</v>
      </c>
      <c r="H7" s="30" t="s">
        <v>70</v>
      </c>
    </row>
    <row r="8" customFormat="false" ht="35.05" hidden="false" customHeight="false" outlineLevel="0" collapsed="false">
      <c r="A8" s="4"/>
      <c r="B8" s="4" t="s">
        <v>71</v>
      </c>
      <c r="C8" s="30" t="s">
        <v>72</v>
      </c>
      <c r="D8" s="4" t="s">
        <v>9</v>
      </c>
      <c r="E8" s="31" t="n">
        <v>1</v>
      </c>
      <c r="F8" s="30" t="s">
        <v>73</v>
      </c>
      <c r="G8" s="4" t="s">
        <v>61</v>
      </c>
      <c r="H8" s="30" t="s">
        <v>74</v>
      </c>
    </row>
    <row r="9" customFormat="false" ht="15" hidden="false" customHeight="false" outlineLevel="0" collapsed="false">
      <c r="A9" s="13"/>
      <c r="B9" s="14" t="s">
        <v>75</v>
      </c>
      <c r="C9" s="14"/>
      <c r="D9" s="14"/>
      <c r="E9" s="15" t="n">
        <f aca="false">SUM(E5:E8)</f>
        <v>4</v>
      </c>
      <c r="F9" s="13"/>
      <c r="G9" s="13"/>
      <c r="H9" s="13"/>
    </row>
    <row r="11" customFormat="false" ht="15" hidden="false" customHeight="false" outlineLevel="0" collapsed="false">
      <c r="A11" s="28" t="s">
        <v>10</v>
      </c>
      <c r="B11" s="29" t="s">
        <v>11</v>
      </c>
      <c r="C11" s="29"/>
      <c r="D11" s="29"/>
      <c r="E11" s="28" t="n">
        <f aca="false">E18</f>
        <v>5.5</v>
      </c>
      <c r="F11" s="28"/>
      <c r="G11" s="28"/>
      <c r="H11" s="28"/>
    </row>
    <row r="12" customFormat="false" ht="35.05" hidden="false" customHeight="false" outlineLevel="0" collapsed="false">
      <c r="A12" s="4"/>
      <c r="B12" s="4" t="s">
        <v>76</v>
      </c>
      <c r="C12" s="30" t="s">
        <v>77</v>
      </c>
      <c r="D12" s="4" t="s">
        <v>9</v>
      </c>
      <c r="E12" s="31" t="n">
        <v>1</v>
      </c>
      <c r="F12" s="30" t="s">
        <v>78</v>
      </c>
      <c r="G12" s="4" t="s">
        <v>58</v>
      </c>
      <c r="H12" s="30" t="s">
        <v>79</v>
      </c>
    </row>
    <row r="13" customFormat="false" ht="35.05" hidden="false" customHeight="false" outlineLevel="0" collapsed="false">
      <c r="A13" s="4"/>
      <c r="B13" s="4" t="s">
        <v>80</v>
      </c>
      <c r="C13" s="30" t="s">
        <v>81</v>
      </c>
      <c r="D13" s="4" t="s">
        <v>9</v>
      </c>
      <c r="E13" s="31" t="n">
        <v>1</v>
      </c>
      <c r="F13" s="30" t="s">
        <v>82</v>
      </c>
      <c r="G13" s="4" t="s">
        <v>76</v>
      </c>
      <c r="H13" s="30" t="s">
        <v>83</v>
      </c>
    </row>
    <row r="14" customFormat="false" ht="35.05" hidden="false" customHeight="false" outlineLevel="0" collapsed="false">
      <c r="A14" s="4"/>
      <c r="B14" s="4" t="s">
        <v>84</v>
      </c>
      <c r="C14" s="30" t="s">
        <v>85</v>
      </c>
      <c r="D14" s="4" t="s">
        <v>9</v>
      </c>
      <c r="E14" s="31" t="n">
        <v>1.5</v>
      </c>
      <c r="F14" s="30" t="s">
        <v>86</v>
      </c>
      <c r="G14" s="4" t="s">
        <v>76</v>
      </c>
      <c r="H14" s="30" t="s">
        <v>87</v>
      </c>
    </row>
    <row r="15" customFormat="false" ht="23.85" hidden="false" customHeight="false" outlineLevel="0" collapsed="false">
      <c r="A15" s="4"/>
      <c r="B15" s="4" t="s">
        <v>88</v>
      </c>
      <c r="C15" s="30" t="s">
        <v>89</v>
      </c>
      <c r="D15" s="4" t="s">
        <v>9</v>
      </c>
      <c r="E15" s="31" t="n">
        <v>0.5</v>
      </c>
      <c r="F15" s="30" t="s">
        <v>90</v>
      </c>
      <c r="G15" s="4" t="s">
        <v>84</v>
      </c>
      <c r="H15" s="30" t="s">
        <v>91</v>
      </c>
    </row>
    <row r="16" customFormat="false" ht="15" hidden="false" customHeight="false" outlineLevel="0" collapsed="false">
      <c r="A16" s="4"/>
      <c r="B16" s="4" t="s">
        <v>92</v>
      </c>
      <c r="C16" s="30" t="s">
        <v>93</v>
      </c>
      <c r="D16" s="4" t="s">
        <v>9</v>
      </c>
      <c r="E16" s="31" t="n">
        <v>0.5</v>
      </c>
      <c r="F16" s="30" t="s">
        <v>94</v>
      </c>
      <c r="G16" s="4" t="s">
        <v>84</v>
      </c>
      <c r="H16" s="30" t="s">
        <v>95</v>
      </c>
    </row>
    <row r="17" customFormat="false" ht="23.85" hidden="false" customHeight="false" outlineLevel="0" collapsed="false">
      <c r="A17" s="4"/>
      <c r="B17" s="4" t="s">
        <v>96</v>
      </c>
      <c r="C17" s="30" t="s">
        <v>97</v>
      </c>
      <c r="D17" s="4" t="s">
        <v>9</v>
      </c>
      <c r="E17" s="31" t="n">
        <v>1</v>
      </c>
      <c r="F17" s="30" t="s">
        <v>98</v>
      </c>
      <c r="G17" s="4" t="s">
        <v>99</v>
      </c>
      <c r="H17" s="30" t="s">
        <v>100</v>
      </c>
    </row>
    <row r="18" customFormat="false" ht="15" hidden="false" customHeight="false" outlineLevel="0" collapsed="false">
      <c r="A18" s="13"/>
      <c r="B18" s="14" t="s">
        <v>101</v>
      </c>
      <c r="C18" s="14"/>
      <c r="D18" s="14"/>
      <c r="E18" s="15" t="n">
        <f aca="false">SUM(E12:E17)</f>
        <v>5.5</v>
      </c>
      <c r="F18" s="13"/>
      <c r="G18" s="13"/>
      <c r="H18" s="13"/>
    </row>
    <row r="20" customFormat="false" ht="15" hidden="false" customHeight="false" outlineLevel="0" collapsed="false">
      <c r="A20" s="28" t="s">
        <v>12</v>
      </c>
      <c r="B20" s="29" t="s">
        <v>13</v>
      </c>
      <c r="C20" s="29"/>
      <c r="D20" s="29"/>
      <c r="E20" s="28" t="n">
        <f aca="false">E27</f>
        <v>5.5</v>
      </c>
      <c r="F20" s="28"/>
      <c r="G20" s="28"/>
      <c r="H20" s="28"/>
    </row>
    <row r="21" customFormat="false" ht="35.05" hidden="false" customHeight="false" outlineLevel="0" collapsed="false">
      <c r="A21" s="4"/>
      <c r="B21" s="4" t="s">
        <v>102</v>
      </c>
      <c r="C21" s="30" t="s">
        <v>103</v>
      </c>
      <c r="D21" s="4" t="s">
        <v>9</v>
      </c>
      <c r="E21" s="31" t="n">
        <v>1.5</v>
      </c>
      <c r="F21" s="30" t="s">
        <v>104</v>
      </c>
      <c r="G21" s="4" t="s">
        <v>96</v>
      </c>
      <c r="H21" s="30" t="s">
        <v>105</v>
      </c>
    </row>
    <row r="22" customFormat="false" ht="23.85" hidden="false" customHeight="false" outlineLevel="0" collapsed="false">
      <c r="A22" s="4"/>
      <c r="B22" s="4" t="s">
        <v>106</v>
      </c>
      <c r="C22" s="30" t="s">
        <v>107</v>
      </c>
      <c r="D22" s="4" t="s">
        <v>9</v>
      </c>
      <c r="E22" s="31" t="n">
        <v>1</v>
      </c>
      <c r="F22" s="30" t="s">
        <v>108</v>
      </c>
      <c r="G22" s="4" t="s">
        <v>102</v>
      </c>
      <c r="H22" s="30" t="s">
        <v>109</v>
      </c>
    </row>
    <row r="23" customFormat="false" ht="23.85" hidden="false" customHeight="false" outlineLevel="0" collapsed="false">
      <c r="A23" s="4"/>
      <c r="B23" s="4" t="s">
        <v>110</v>
      </c>
      <c r="C23" s="30" t="s">
        <v>111</v>
      </c>
      <c r="D23" s="4" t="s">
        <v>9</v>
      </c>
      <c r="E23" s="31" t="n">
        <v>0.5</v>
      </c>
      <c r="F23" s="30" t="s">
        <v>112</v>
      </c>
      <c r="G23" s="4" t="s">
        <v>102</v>
      </c>
      <c r="H23" s="30" t="s">
        <v>113</v>
      </c>
    </row>
    <row r="24" customFormat="false" ht="15" hidden="false" customHeight="false" outlineLevel="0" collapsed="false">
      <c r="A24" s="4"/>
      <c r="B24" s="4" t="s">
        <v>114</v>
      </c>
      <c r="C24" s="30" t="s">
        <v>115</v>
      </c>
      <c r="D24" s="4" t="s">
        <v>9</v>
      </c>
      <c r="E24" s="31" t="n">
        <v>0.5</v>
      </c>
      <c r="F24" s="30" t="s">
        <v>116</v>
      </c>
      <c r="G24" s="4" t="s">
        <v>117</v>
      </c>
      <c r="H24" s="30" t="s">
        <v>118</v>
      </c>
    </row>
    <row r="25" customFormat="false" ht="15" hidden="false" customHeight="false" outlineLevel="0" collapsed="false">
      <c r="A25" s="4"/>
      <c r="B25" s="4" t="s">
        <v>119</v>
      </c>
      <c r="C25" s="30" t="s">
        <v>120</v>
      </c>
      <c r="D25" s="4" t="s">
        <v>9</v>
      </c>
      <c r="E25" s="31" t="n">
        <v>1</v>
      </c>
      <c r="F25" s="30" t="s">
        <v>121</v>
      </c>
      <c r="G25" s="4" t="s">
        <v>114</v>
      </c>
      <c r="H25" s="30" t="s">
        <v>122</v>
      </c>
    </row>
    <row r="26" customFormat="false" ht="15" hidden="false" customHeight="false" outlineLevel="0" collapsed="false">
      <c r="A26" s="32"/>
      <c r="B26" s="32" t="s">
        <v>123</v>
      </c>
      <c r="C26" s="33" t="s">
        <v>124</v>
      </c>
      <c r="D26" s="32" t="s">
        <v>9</v>
      </c>
      <c r="E26" s="34" t="n">
        <v>1</v>
      </c>
      <c r="F26" s="35" t="s">
        <v>125</v>
      </c>
      <c r="G26" s="32" t="s">
        <v>114</v>
      </c>
      <c r="H26" s="35" t="s">
        <v>126</v>
      </c>
    </row>
    <row r="27" customFormat="false" ht="15" hidden="false" customHeight="false" outlineLevel="0" collapsed="false">
      <c r="A27" s="13"/>
      <c r="B27" s="14" t="s">
        <v>127</v>
      </c>
      <c r="C27" s="14"/>
      <c r="D27" s="14"/>
      <c r="E27" s="15" t="n">
        <f aca="false">SUM(E21:E26)</f>
        <v>5.5</v>
      </c>
      <c r="F27" s="13"/>
      <c r="G27" s="13"/>
      <c r="H27" s="13"/>
    </row>
    <row r="29" customFormat="false" ht="15" hidden="false" customHeight="false" outlineLevel="0" collapsed="false">
      <c r="A29" s="28" t="s">
        <v>14</v>
      </c>
      <c r="B29" s="29" t="s">
        <v>15</v>
      </c>
      <c r="C29" s="29"/>
      <c r="D29" s="29"/>
      <c r="E29" s="28" t="n">
        <f aca="false">E36</f>
        <v>9</v>
      </c>
      <c r="F29" s="28"/>
      <c r="G29" s="28"/>
      <c r="H29" s="28"/>
    </row>
    <row r="30" customFormat="false" ht="35.05" hidden="false" customHeight="false" outlineLevel="0" collapsed="false">
      <c r="A30" s="4"/>
      <c r="B30" s="4" t="s">
        <v>128</v>
      </c>
      <c r="C30" s="30" t="s">
        <v>129</v>
      </c>
      <c r="D30" s="4" t="s">
        <v>9</v>
      </c>
      <c r="E30" s="31" t="n">
        <v>3</v>
      </c>
      <c r="F30" s="30" t="s">
        <v>130</v>
      </c>
      <c r="G30" s="4" t="s">
        <v>123</v>
      </c>
      <c r="H30" s="30" t="s">
        <v>131</v>
      </c>
    </row>
    <row r="31" customFormat="false" ht="15" hidden="false" customHeight="false" outlineLevel="0" collapsed="false">
      <c r="A31" s="4"/>
      <c r="B31" s="4" t="s">
        <v>132</v>
      </c>
      <c r="C31" s="30" t="s">
        <v>133</v>
      </c>
      <c r="D31" s="4" t="s">
        <v>9</v>
      </c>
      <c r="E31" s="31" t="n">
        <v>1</v>
      </c>
      <c r="F31" s="30" t="s">
        <v>134</v>
      </c>
      <c r="G31" s="4" t="s">
        <v>128</v>
      </c>
      <c r="H31" s="30" t="s">
        <v>135</v>
      </c>
    </row>
    <row r="32" customFormat="false" ht="23.85" hidden="false" customHeight="false" outlineLevel="0" collapsed="false">
      <c r="A32" s="4"/>
      <c r="B32" s="4" t="s">
        <v>136</v>
      </c>
      <c r="C32" s="30" t="s">
        <v>137</v>
      </c>
      <c r="D32" s="4" t="s">
        <v>9</v>
      </c>
      <c r="E32" s="31" t="n">
        <v>0.5</v>
      </c>
      <c r="F32" s="30" t="s">
        <v>138</v>
      </c>
      <c r="G32" s="4" t="s">
        <v>132</v>
      </c>
      <c r="H32" s="30" t="s">
        <v>139</v>
      </c>
    </row>
    <row r="33" customFormat="false" ht="23.85" hidden="false" customHeight="false" outlineLevel="0" collapsed="false">
      <c r="A33" s="4"/>
      <c r="B33" s="4" t="s">
        <v>140</v>
      </c>
      <c r="C33" s="30" t="s">
        <v>141</v>
      </c>
      <c r="D33" s="4" t="s">
        <v>9</v>
      </c>
      <c r="E33" s="31" t="n">
        <v>2</v>
      </c>
      <c r="F33" s="30" t="s">
        <v>142</v>
      </c>
      <c r="G33" s="4" t="s">
        <v>128</v>
      </c>
      <c r="H33" s="30" t="s">
        <v>143</v>
      </c>
    </row>
    <row r="34" customFormat="false" ht="15" hidden="false" customHeight="false" outlineLevel="0" collapsed="false">
      <c r="A34" s="32"/>
      <c r="B34" s="32" t="s">
        <v>144</v>
      </c>
      <c r="C34" s="33" t="s">
        <v>145</v>
      </c>
      <c r="D34" s="32" t="s">
        <v>9</v>
      </c>
      <c r="E34" s="34" t="n">
        <v>2</v>
      </c>
      <c r="F34" s="35" t="s">
        <v>146</v>
      </c>
      <c r="G34" s="32" t="s">
        <v>136</v>
      </c>
      <c r="H34" s="35" t="s">
        <v>147</v>
      </c>
    </row>
    <row r="35" customFormat="false" ht="15" hidden="false" customHeight="false" outlineLevel="0" collapsed="false">
      <c r="A35" s="4"/>
      <c r="B35" s="4" t="s">
        <v>148</v>
      </c>
      <c r="C35" s="30" t="s">
        <v>149</v>
      </c>
      <c r="D35" s="4" t="s">
        <v>9</v>
      </c>
      <c r="E35" s="31" t="n">
        <v>0.5</v>
      </c>
      <c r="F35" s="30" t="s">
        <v>150</v>
      </c>
      <c r="G35" s="4" t="s">
        <v>144</v>
      </c>
      <c r="H35" s="30" t="s">
        <v>151</v>
      </c>
    </row>
    <row r="36" customFormat="false" ht="15" hidden="false" customHeight="false" outlineLevel="0" collapsed="false">
      <c r="A36" s="13"/>
      <c r="B36" s="14" t="s">
        <v>152</v>
      </c>
      <c r="C36" s="14"/>
      <c r="D36" s="14"/>
      <c r="E36" s="15" t="n">
        <f aca="false">SUM(E30:E35)</f>
        <v>9</v>
      </c>
      <c r="F36" s="13"/>
      <c r="G36" s="13"/>
      <c r="H36" s="13"/>
    </row>
    <row r="38" customFormat="false" ht="15" hidden="false" customHeight="false" outlineLevel="0" collapsed="false">
      <c r="A38" s="28" t="s">
        <v>16</v>
      </c>
      <c r="B38" s="29" t="s">
        <v>17</v>
      </c>
      <c r="C38" s="29"/>
      <c r="D38" s="29"/>
      <c r="E38" s="28" t="n">
        <f aca="false">E45</f>
        <v>4</v>
      </c>
      <c r="F38" s="28"/>
      <c r="G38" s="28"/>
      <c r="H38" s="28"/>
    </row>
    <row r="39" customFormat="false" ht="15" hidden="false" customHeight="false" outlineLevel="0" collapsed="false">
      <c r="A39" s="4"/>
      <c r="B39" s="4" t="s">
        <v>153</v>
      </c>
      <c r="C39" s="30" t="s">
        <v>154</v>
      </c>
      <c r="D39" s="4" t="s">
        <v>9</v>
      </c>
      <c r="E39" s="31" t="n">
        <v>0.5</v>
      </c>
      <c r="F39" s="30" t="s">
        <v>155</v>
      </c>
      <c r="G39" s="4" t="s">
        <v>67</v>
      </c>
      <c r="H39" s="30" t="s">
        <v>156</v>
      </c>
    </row>
    <row r="40" customFormat="false" ht="15" hidden="false" customHeight="false" outlineLevel="0" collapsed="false">
      <c r="A40" s="4"/>
      <c r="B40" s="4" t="s">
        <v>157</v>
      </c>
      <c r="C40" s="30" t="s">
        <v>158</v>
      </c>
      <c r="D40" s="4" t="s">
        <v>9</v>
      </c>
      <c r="E40" s="31" t="n">
        <v>0.5</v>
      </c>
      <c r="F40" s="30" t="s">
        <v>159</v>
      </c>
      <c r="G40" s="4" t="s">
        <v>160</v>
      </c>
      <c r="H40" s="30" t="s">
        <v>161</v>
      </c>
    </row>
    <row r="41" customFormat="false" ht="23.85" hidden="false" customHeight="false" outlineLevel="0" collapsed="false">
      <c r="A41" s="4"/>
      <c r="B41" s="4" t="s">
        <v>162</v>
      </c>
      <c r="C41" s="30" t="s">
        <v>163</v>
      </c>
      <c r="D41" s="4" t="s">
        <v>9</v>
      </c>
      <c r="E41" s="31" t="n">
        <v>1</v>
      </c>
      <c r="F41" s="30" t="s">
        <v>164</v>
      </c>
      <c r="G41" s="4" t="s">
        <v>157</v>
      </c>
      <c r="H41" s="30" t="s">
        <v>165</v>
      </c>
    </row>
    <row r="42" customFormat="false" ht="23.85" hidden="false" customHeight="false" outlineLevel="0" collapsed="false">
      <c r="A42" s="4"/>
      <c r="B42" s="4" t="s">
        <v>166</v>
      </c>
      <c r="C42" s="30" t="s">
        <v>167</v>
      </c>
      <c r="D42" s="4" t="s">
        <v>9</v>
      </c>
      <c r="E42" s="31" t="n">
        <v>1</v>
      </c>
      <c r="F42" s="30" t="s">
        <v>168</v>
      </c>
      <c r="G42" s="4" t="s">
        <v>162</v>
      </c>
      <c r="H42" s="30" t="s">
        <v>169</v>
      </c>
    </row>
    <row r="43" customFormat="false" ht="15" hidden="false" customHeight="false" outlineLevel="0" collapsed="false">
      <c r="A43" s="4"/>
      <c r="B43" s="4" t="s">
        <v>170</v>
      </c>
      <c r="C43" s="30" t="s">
        <v>171</v>
      </c>
      <c r="D43" s="4" t="s">
        <v>9</v>
      </c>
      <c r="E43" s="31" t="n">
        <v>0.5</v>
      </c>
      <c r="F43" s="30" t="s">
        <v>172</v>
      </c>
      <c r="G43" s="4" t="s">
        <v>166</v>
      </c>
      <c r="H43" s="30" t="s">
        <v>173</v>
      </c>
    </row>
    <row r="44" customFormat="false" ht="15" hidden="false" customHeight="false" outlineLevel="0" collapsed="false">
      <c r="A44" s="32"/>
      <c r="B44" s="32" t="s">
        <v>174</v>
      </c>
      <c r="C44" s="33" t="s">
        <v>175</v>
      </c>
      <c r="D44" s="32" t="s">
        <v>9</v>
      </c>
      <c r="E44" s="34" t="n">
        <v>0.5</v>
      </c>
      <c r="F44" s="35"/>
      <c r="G44" s="32" t="s">
        <v>166</v>
      </c>
      <c r="H44" s="35" t="s">
        <v>176</v>
      </c>
    </row>
    <row r="45" customFormat="false" ht="15" hidden="false" customHeight="false" outlineLevel="0" collapsed="false">
      <c r="A45" s="13"/>
      <c r="B45" s="14" t="s">
        <v>177</v>
      </c>
      <c r="C45" s="14"/>
      <c r="D45" s="14"/>
      <c r="E45" s="15" t="n">
        <f aca="false">SUM(E39:E44)</f>
        <v>4</v>
      </c>
      <c r="F45" s="13"/>
      <c r="G45" s="13"/>
      <c r="H45" s="13"/>
    </row>
    <row r="47" customFormat="false" ht="15" hidden="false" customHeight="false" outlineLevel="0" collapsed="false">
      <c r="A47" s="28" t="s">
        <v>18</v>
      </c>
      <c r="B47" s="29" t="s">
        <v>19</v>
      </c>
      <c r="C47" s="29"/>
      <c r="D47" s="29"/>
      <c r="E47" s="28" t="n">
        <f aca="false">E52</f>
        <v>6</v>
      </c>
      <c r="F47" s="28"/>
      <c r="G47" s="28"/>
      <c r="H47" s="28"/>
    </row>
    <row r="48" customFormat="false" ht="23.85" hidden="false" customHeight="false" outlineLevel="0" collapsed="false">
      <c r="A48" s="4"/>
      <c r="B48" s="4" t="s">
        <v>178</v>
      </c>
      <c r="C48" s="30" t="s">
        <v>179</v>
      </c>
      <c r="D48" s="4" t="s">
        <v>9</v>
      </c>
      <c r="E48" s="31" t="n">
        <v>2</v>
      </c>
      <c r="F48" s="30" t="s">
        <v>180</v>
      </c>
      <c r="G48" s="4" t="s">
        <v>166</v>
      </c>
      <c r="H48" s="30" t="s">
        <v>181</v>
      </c>
    </row>
    <row r="49" customFormat="false" ht="35.05" hidden="false" customHeight="false" outlineLevel="0" collapsed="false">
      <c r="A49" s="4"/>
      <c r="B49" s="4" t="s">
        <v>182</v>
      </c>
      <c r="C49" s="30" t="s">
        <v>183</v>
      </c>
      <c r="D49" s="4" t="s">
        <v>9</v>
      </c>
      <c r="E49" s="31" t="n">
        <v>2</v>
      </c>
      <c r="F49" s="30" t="s">
        <v>184</v>
      </c>
      <c r="G49" s="4" t="s">
        <v>71</v>
      </c>
      <c r="H49" s="30" t="s">
        <v>185</v>
      </c>
    </row>
    <row r="50" customFormat="false" ht="15" hidden="false" customHeight="false" outlineLevel="0" collapsed="false">
      <c r="A50" s="4"/>
      <c r="B50" s="4" t="s">
        <v>186</v>
      </c>
      <c r="C50" s="30" t="s">
        <v>187</v>
      </c>
      <c r="D50" s="4" t="s">
        <v>9</v>
      </c>
      <c r="E50" s="31" t="n">
        <v>0.5</v>
      </c>
      <c r="F50" s="30" t="s">
        <v>188</v>
      </c>
      <c r="G50" s="4" t="s">
        <v>178</v>
      </c>
      <c r="H50" s="30" t="s">
        <v>189</v>
      </c>
    </row>
    <row r="51" customFormat="false" ht="15" hidden="false" customHeight="false" outlineLevel="0" collapsed="false">
      <c r="A51" s="32"/>
      <c r="B51" s="32" t="s">
        <v>190</v>
      </c>
      <c r="C51" s="33" t="s">
        <v>191</v>
      </c>
      <c r="D51" s="32" t="s">
        <v>9</v>
      </c>
      <c r="E51" s="34" t="n">
        <v>1.5</v>
      </c>
      <c r="F51" s="35" t="s">
        <v>192</v>
      </c>
      <c r="G51" s="32" t="s">
        <v>186</v>
      </c>
      <c r="H51" s="35" t="s">
        <v>193</v>
      </c>
    </row>
    <row r="52" customFormat="false" ht="15" hidden="false" customHeight="false" outlineLevel="0" collapsed="false">
      <c r="A52" s="13"/>
      <c r="B52" s="14" t="s">
        <v>194</v>
      </c>
      <c r="C52" s="14"/>
      <c r="D52" s="14"/>
      <c r="E52" s="15" t="n">
        <f aca="false">SUM(E48:E51)</f>
        <v>6</v>
      </c>
      <c r="F52" s="13"/>
      <c r="G52" s="13"/>
      <c r="H52" s="13"/>
    </row>
    <row r="54" customFormat="false" ht="15" hidden="false" customHeight="false" outlineLevel="0" collapsed="false">
      <c r="A54" s="28" t="s">
        <v>20</v>
      </c>
      <c r="B54" s="29" t="s">
        <v>21</v>
      </c>
      <c r="C54" s="29"/>
      <c r="D54" s="29"/>
      <c r="E54" s="28" t="n">
        <f aca="false">E60</f>
        <v>5.5</v>
      </c>
      <c r="F54" s="28"/>
      <c r="G54" s="28"/>
      <c r="H54" s="28"/>
    </row>
    <row r="55" customFormat="false" ht="23.85" hidden="false" customHeight="false" outlineLevel="0" collapsed="false">
      <c r="A55" s="7"/>
      <c r="B55" s="7" t="s">
        <v>195</v>
      </c>
      <c r="C55" s="36" t="s">
        <v>196</v>
      </c>
      <c r="D55" s="7" t="s">
        <v>22</v>
      </c>
      <c r="E55" s="37" t="n">
        <v>1.5</v>
      </c>
      <c r="F55" s="36" t="s">
        <v>197</v>
      </c>
      <c r="G55" s="7" t="s">
        <v>148</v>
      </c>
      <c r="H55" s="36" t="s">
        <v>198</v>
      </c>
    </row>
    <row r="56" customFormat="false" ht="15" hidden="false" customHeight="false" outlineLevel="0" collapsed="false">
      <c r="A56" s="7"/>
      <c r="B56" s="7" t="s">
        <v>199</v>
      </c>
      <c r="C56" s="36" t="s">
        <v>200</v>
      </c>
      <c r="D56" s="7" t="s">
        <v>22</v>
      </c>
      <c r="E56" s="37" t="n">
        <v>1</v>
      </c>
      <c r="F56" s="36" t="s">
        <v>201</v>
      </c>
      <c r="G56" s="7" t="s">
        <v>195</v>
      </c>
      <c r="H56" s="36" t="s">
        <v>202</v>
      </c>
    </row>
    <row r="57" customFormat="false" ht="15" hidden="false" customHeight="false" outlineLevel="0" collapsed="false">
      <c r="A57" s="7"/>
      <c r="B57" s="7" t="s">
        <v>203</v>
      </c>
      <c r="C57" s="36" t="s">
        <v>204</v>
      </c>
      <c r="D57" s="7" t="s">
        <v>22</v>
      </c>
      <c r="E57" s="37" t="n">
        <v>0.5</v>
      </c>
      <c r="F57" s="36" t="s">
        <v>205</v>
      </c>
      <c r="G57" s="7" t="s">
        <v>195</v>
      </c>
      <c r="H57" s="36" t="s">
        <v>206</v>
      </c>
    </row>
    <row r="58" customFormat="false" ht="23.85" hidden="false" customHeight="false" outlineLevel="0" collapsed="false">
      <c r="A58" s="7"/>
      <c r="B58" s="7" t="s">
        <v>207</v>
      </c>
      <c r="C58" s="36" t="s">
        <v>208</v>
      </c>
      <c r="D58" s="7" t="s">
        <v>22</v>
      </c>
      <c r="E58" s="37" t="n">
        <v>1</v>
      </c>
      <c r="F58" s="36" t="s">
        <v>209</v>
      </c>
      <c r="G58" s="7" t="s">
        <v>195</v>
      </c>
      <c r="H58" s="36" t="s">
        <v>210</v>
      </c>
    </row>
    <row r="59" customFormat="false" ht="15" hidden="false" customHeight="false" outlineLevel="0" collapsed="false">
      <c r="A59" s="7"/>
      <c r="B59" s="7" t="s">
        <v>211</v>
      </c>
      <c r="C59" s="36" t="s">
        <v>212</v>
      </c>
      <c r="D59" s="7" t="s">
        <v>22</v>
      </c>
      <c r="E59" s="37" t="n">
        <v>1.5</v>
      </c>
      <c r="F59" s="36"/>
      <c r="G59" s="7" t="s">
        <v>213</v>
      </c>
      <c r="H59" s="36" t="s">
        <v>214</v>
      </c>
    </row>
    <row r="60" customFormat="false" ht="15" hidden="false" customHeight="false" outlineLevel="0" collapsed="false">
      <c r="A60" s="13"/>
      <c r="B60" s="14" t="s">
        <v>215</v>
      </c>
      <c r="C60" s="14"/>
      <c r="D60" s="14"/>
      <c r="E60" s="15" t="n">
        <f aca="false">SUM(E55:E59)</f>
        <v>5.5</v>
      </c>
      <c r="F60" s="13"/>
      <c r="G60" s="13"/>
      <c r="H60" s="13"/>
    </row>
    <row r="62" customFormat="false" ht="15" hidden="false" customHeight="false" outlineLevel="0" collapsed="false">
      <c r="A62" s="28" t="s">
        <v>23</v>
      </c>
      <c r="B62" s="29" t="s">
        <v>24</v>
      </c>
      <c r="C62" s="29"/>
      <c r="D62" s="29"/>
      <c r="E62" s="28" t="n">
        <f aca="false">E65</f>
        <v>1.5</v>
      </c>
      <c r="F62" s="28"/>
      <c r="G62" s="28"/>
      <c r="H62" s="28"/>
    </row>
    <row r="63" customFormat="false" ht="23.85" hidden="false" customHeight="false" outlineLevel="0" collapsed="false">
      <c r="A63" s="4"/>
      <c r="B63" s="4" t="s">
        <v>216</v>
      </c>
      <c r="C63" s="30" t="s">
        <v>217</v>
      </c>
      <c r="D63" s="4" t="s">
        <v>9</v>
      </c>
      <c r="E63" s="31" t="n">
        <v>0.5</v>
      </c>
      <c r="F63" s="30" t="s">
        <v>218</v>
      </c>
      <c r="G63" s="4" t="s">
        <v>207</v>
      </c>
      <c r="H63" s="30" t="s">
        <v>219</v>
      </c>
    </row>
    <row r="64" customFormat="false" ht="15" hidden="false" customHeight="false" outlineLevel="0" collapsed="false">
      <c r="A64" s="4"/>
      <c r="B64" s="4" t="s">
        <v>220</v>
      </c>
      <c r="C64" s="30" t="s">
        <v>221</v>
      </c>
      <c r="D64" s="4" t="s">
        <v>9</v>
      </c>
      <c r="E64" s="31" t="n">
        <v>1</v>
      </c>
      <c r="F64" s="30"/>
      <c r="G64" s="4" t="s">
        <v>216</v>
      </c>
      <c r="H64" s="30" t="s">
        <v>222</v>
      </c>
    </row>
    <row r="65" customFormat="false" ht="15" hidden="false" customHeight="false" outlineLevel="0" collapsed="false">
      <c r="A65" s="13"/>
      <c r="B65" s="14" t="s">
        <v>223</v>
      </c>
      <c r="C65" s="14"/>
      <c r="D65" s="14"/>
      <c r="E65" s="15" t="n">
        <f aca="false">SUM(E63:E64)</f>
        <v>1.5</v>
      </c>
      <c r="F65" s="13"/>
      <c r="G65" s="13"/>
      <c r="H65" s="13"/>
    </row>
    <row r="67" customFormat="false" ht="15" hidden="false" customHeight="false" outlineLevel="0" collapsed="false">
      <c r="A67" s="28" t="s">
        <v>25</v>
      </c>
      <c r="B67" s="29" t="s">
        <v>26</v>
      </c>
      <c r="C67" s="29"/>
      <c r="D67" s="29"/>
      <c r="E67" s="28" t="n">
        <f aca="false">E71</f>
        <v>5.5</v>
      </c>
      <c r="F67" s="28"/>
      <c r="G67" s="28"/>
      <c r="H67" s="28"/>
    </row>
    <row r="68" customFormat="false" ht="23.85" hidden="false" customHeight="false" outlineLevel="0" collapsed="false">
      <c r="A68" s="4"/>
      <c r="B68" s="4" t="s">
        <v>224</v>
      </c>
      <c r="C68" s="30" t="s">
        <v>225</v>
      </c>
      <c r="D68" s="4" t="s">
        <v>9</v>
      </c>
      <c r="E68" s="31" t="n">
        <v>2</v>
      </c>
      <c r="F68" s="30" t="s">
        <v>226</v>
      </c>
      <c r="G68" s="4" t="s">
        <v>220</v>
      </c>
      <c r="H68" s="30" t="s">
        <v>227</v>
      </c>
    </row>
    <row r="69" customFormat="false" ht="15" hidden="false" customHeight="false" outlineLevel="0" collapsed="false">
      <c r="A69" s="4"/>
      <c r="B69" s="4" t="s">
        <v>228</v>
      </c>
      <c r="C69" s="30" t="s">
        <v>229</v>
      </c>
      <c r="D69" s="4" t="s">
        <v>9</v>
      </c>
      <c r="E69" s="31" t="n">
        <v>1.5</v>
      </c>
      <c r="F69" s="30"/>
      <c r="G69" s="4" t="s">
        <v>220</v>
      </c>
      <c r="H69" s="30" t="s">
        <v>230</v>
      </c>
    </row>
    <row r="70" customFormat="false" ht="15" hidden="false" customHeight="false" outlineLevel="0" collapsed="false">
      <c r="A70" s="4"/>
      <c r="B70" s="4" t="s">
        <v>231</v>
      </c>
      <c r="C70" s="30" t="s">
        <v>232</v>
      </c>
      <c r="D70" s="4" t="s">
        <v>9</v>
      </c>
      <c r="E70" s="31" t="n">
        <v>2</v>
      </c>
      <c r="F70" s="30" t="s">
        <v>233</v>
      </c>
      <c r="G70" s="4" t="s">
        <v>224</v>
      </c>
      <c r="H70" s="30" t="s">
        <v>234</v>
      </c>
    </row>
    <row r="71" customFormat="false" ht="15" hidden="false" customHeight="false" outlineLevel="0" collapsed="false">
      <c r="A71" s="13"/>
      <c r="B71" s="14" t="s">
        <v>235</v>
      </c>
      <c r="C71" s="14"/>
      <c r="D71" s="14"/>
      <c r="E71" s="15" t="n">
        <f aca="false">SUM(E68:E70)</f>
        <v>5.5</v>
      </c>
      <c r="F71" s="13"/>
      <c r="G71" s="13"/>
      <c r="H71" s="13"/>
    </row>
    <row r="73" customFormat="false" ht="15" hidden="false" customHeight="false" outlineLevel="0" collapsed="false">
      <c r="A73" s="28" t="s">
        <v>27</v>
      </c>
      <c r="B73" s="29" t="s">
        <v>28</v>
      </c>
      <c r="C73" s="29"/>
      <c r="D73" s="29"/>
      <c r="E73" s="28" t="n">
        <f aca="false">E76</f>
        <v>1.5</v>
      </c>
      <c r="F73" s="28"/>
      <c r="G73" s="28"/>
      <c r="H73" s="28"/>
    </row>
    <row r="74" customFormat="false" ht="15" hidden="false" customHeight="false" outlineLevel="0" collapsed="false">
      <c r="A74" s="4"/>
      <c r="B74" s="4" t="s">
        <v>236</v>
      </c>
      <c r="C74" s="30" t="s">
        <v>237</v>
      </c>
      <c r="D74" s="4" t="s">
        <v>9</v>
      </c>
      <c r="E74" s="31" t="n">
        <v>0.75</v>
      </c>
      <c r="F74" s="30"/>
      <c r="G74" s="4" t="s">
        <v>231</v>
      </c>
      <c r="H74" s="30" t="s">
        <v>238</v>
      </c>
    </row>
    <row r="75" customFormat="false" ht="15" hidden="false" customHeight="false" outlineLevel="0" collapsed="false">
      <c r="A75" s="4"/>
      <c r="B75" s="4" t="s">
        <v>239</v>
      </c>
      <c r="C75" s="30" t="s">
        <v>240</v>
      </c>
      <c r="D75" s="4" t="s">
        <v>9</v>
      </c>
      <c r="E75" s="31" t="n">
        <v>0.75</v>
      </c>
      <c r="F75" s="30"/>
      <c r="G75" s="4" t="s">
        <v>231</v>
      </c>
      <c r="H75" s="30" t="s">
        <v>241</v>
      </c>
    </row>
    <row r="76" customFormat="false" ht="15" hidden="false" customHeight="false" outlineLevel="0" collapsed="false">
      <c r="A76" s="13"/>
      <c r="B76" s="14" t="s">
        <v>242</v>
      </c>
      <c r="C76" s="14"/>
      <c r="D76" s="14"/>
      <c r="E76" s="15" t="n">
        <f aca="false">SUM(E74:E75)</f>
        <v>1.5</v>
      </c>
      <c r="F76" s="13"/>
      <c r="G76" s="13"/>
      <c r="H76" s="13"/>
    </row>
    <row r="78" customFormat="false" ht="15" hidden="false" customHeight="false" outlineLevel="0" collapsed="false">
      <c r="A78" s="28" t="s">
        <v>29</v>
      </c>
      <c r="B78" s="29" t="s">
        <v>30</v>
      </c>
      <c r="C78" s="29"/>
      <c r="D78" s="29"/>
      <c r="E78" s="28" t="n">
        <f aca="false">E80</f>
        <v>1.5</v>
      </c>
      <c r="F78" s="28"/>
      <c r="G78" s="28"/>
      <c r="H78" s="28"/>
    </row>
    <row r="79" customFormat="false" ht="15" hidden="false" customHeight="false" outlineLevel="0" collapsed="false">
      <c r="A79" s="4"/>
      <c r="B79" s="4" t="s">
        <v>243</v>
      </c>
      <c r="C79" s="30" t="s">
        <v>244</v>
      </c>
      <c r="D79" s="4" t="s">
        <v>9</v>
      </c>
      <c r="E79" s="31" t="n">
        <v>1.5</v>
      </c>
      <c r="F79" s="30" t="s">
        <v>245</v>
      </c>
      <c r="G79" s="4" t="s">
        <v>61</v>
      </c>
      <c r="H79" s="30" t="s">
        <v>61</v>
      </c>
    </row>
    <row r="80" customFormat="false" ht="15" hidden="false" customHeight="false" outlineLevel="0" collapsed="false">
      <c r="A80" s="13"/>
      <c r="B80" s="14" t="s">
        <v>246</v>
      </c>
      <c r="C80" s="14"/>
      <c r="D80" s="14"/>
      <c r="E80" s="15" t="n">
        <f aca="false">SUM(E79:E79)</f>
        <v>1.5</v>
      </c>
      <c r="F80" s="13"/>
      <c r="G80" s="13"/>
      <c r="H80" s="13"/>
    </row>
    <row r="82" customFormat="false" ht="15" hidden="false" customHeight="false" outlineLevel="0" collapsed="false">
      <c r="A82" s="28" t="s">
        <v>31</v>
      </c>
      <c r="B82" s="29" t="s">
        <v>32</v>
      </c>
      <c r="C82" s="29"/>
      <c r="D82" s="29"/>
      <c r="E82" s="28" t="n">
        <f aca="false">E85</f>
        <v>3</v>
      </c>
      <c r="F82" s="28"/>
      <c r="G82" s="28"/>
      <c r="H82" s="28"/>
    </row>
    <row r="83" customFormat="false" ht="15" hidden="false" customHeight="false" outlineLevel="0" collapsed="false">
      <c r="A83" s="4"/>
      <c r="B83" s="4" t="s">
        <v>247</v>
      </c>
      <c r="C83" s="30" t="s">
        <v>248</v>
      </c>
      <c r="D83" s="4" t="s">
        <v>9</v>
      </c>
      <c r="E83" s="31" t="n">
        <v>1.5</v>
      </c>
      <c r="F83" s="30" t="s">
        <v>249</v>
      </c>
      <c r="G83" s="4" t="s">
        <v>61</v>
      </c>
      <c r="H83" s="30" t="s">
        <v>61</v>
      </c>
    </row>
    <row r="84" customFormat="false" ht="15" hidden="false" customHeight="false" outlineLevel="0" collapsed="false">
      <c r="A84" s="4"/>
      <c r="B84" s="4" t="s">
        <v>250</v>
      </c>
      <c r="C84" s="30" t="s">
        <v>251</v>
      </c>
      <c r="D84" s="4" t="s">
        <v>9</v>
      </c>
      <c r="E84" s="31" t="n">
        <v>1.5</v>
      </c>
      <c r="F84" s="30"/>
      <c r="G84" s="4" t="s">
        <v>61</v>
      </c>
      <c r="H84" s="30" t="s">
        <v>61</v>
      </c>
    </row>
    <row r="85" customFormat="false" ht="15" hidden="false" customHeight="false" outlineLevel="0" collapsed="false">
      <c r="A85" s="13"/>
      <c r="B85" s="14" t="s">
        <v>252</v>
      </c>
      <c r="C85" s="14"/>
      <c r="D85" s="14"/>
      <c r="E85" s="15" t="n">
        <f aca="false">SUM(E83:E84)</f>
        <v>3</v>
      </c>
      <c r="F85" s="13"/>
      <c r="G85" s="13"/>
      <c r="H85" s="13"/>
    </row>
    <row r="87" customFormat="false" ht="15" hidden="false" customHeight="false" outlineLevel="0" collapsed="false">
      <c r="A87" s="17" t="s">
        <v>35</v>
      </c>
      <c r="B87" s="18" t="s">
        <v>36</v>
      </c>
      <c r="C87" s="18"/>
      <c r="D87" s="17" t="s">
        <v>37</v>
      </c>
      <c r="E87" s="17" t="n">
        <f aca="false">E9+E18+E27+E36+E45+E52+E60+E65+E71+E76+E80+E85</f>
        <v>52.5</v>
      </c>
      <c r="F87" s="18"/>
      <c r="G87" s="18"/>
      <c r="H87" s="18"/>
    </row>
    <row r="89" customFormat="false" ht="15" hidden="false" customHeight="false" outlineLevel="0" collapsed="false">
      <c r="A89" s="38" t="s">
        <v>253</v>
      </c>
    </row>
  </sheetData>
  <mergeCells count="26">
    <mergeCell ref="A1:H1"/>
    <mergeCell ref="B4:D4"/>
    <mergeCell ref="B9:D9"/>
    <mergeCell ref="B11:D11"/>
    <mergeCell ref="B18:D18"/>
    <mergeCell ref="B20:D20"/>
    <mergeCell ref="B27:D27"/>
    <mergeCell ref="B29:D29"/>
    <mergeCell ref="B36:D36"/>
    <mergeCell ref="B38:D38"/>
    <mergeCell ref="B45:D45"/>
    <mergeCell ref="B47:D47"/>
    <mergeCell ref="B52:D52"/>
    <mergeCell ref="B54:D54"/>
    <mergeCell ref="B60:D60"/>
    <mergeCell ref="B62:D62"/>
    <mergeCell ref="B65:D65"/>
    <mergeCell ref="B67:D67"/>
    <mergeCell ref="B71:D71"/>
    <mergeCell ref="B73:D73"/>
    <mergeCell ref="B76:D76"/>
    <mergeCell ref="B78:D78"/>
    <mergeCell ref="B80:D80"/>
    <mergeCell ref="B82:D82"/>
    <mergeCell ref="B85:D85"/>
    <mergeCell ref="B87:C8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6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6" ySplit="5" topLeftCell="G6" activePane="bottomRight" state="frozen"/>
      <selection pane="topLeft" activeCell="A1" activeCellId="0" sqref="A1"/>
      <selection pane="topRight" activeCell="G1" activeCellId="0" sqref="G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58"/>
    <col collapsed="false" customWidth="true" hidden="false" outlineLevel="0" max="3" min="3" style="0" width="15"/>
    <col collapsed="false" customWidth="true" hidden="false" outlineLevel="0" max="6" min="4" style="0" width="10"/>
    <col collapsed="false" customWidth="true" hidden="false" outlineLevel="0" max="17" min="7" style="0" width="6.51"/>
  </cols>
  <sheetData>
    <row r="1" customFormat="false" ht="15" hidden="false" customHeight="false" outlineLevel="0" collapsed="false">
      <c r="A1" s="27" t="s">
        <v>254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</row>
    <row r="2" customFormat="false" ht="15" hidden="false" customHeight="false" outlineLevel="0" collapsed="false">
      <c r="B2" s="22" t="s">
        <v>255</v>
      </c>
      <c r="C2" s="39" t="n">
        <v>46307</v>
      </c>
    </row>
    <row r="3" customFormat="false" ht="15" hidden="false" customHeight="false" outlineLevel="0" collapsed="false">
      <c r="G3" s="40" t="n">
        <v>1</v>
      </c>
      <c r="H3" s="40" t="n">
        <v>2</v>
      </c>
      <c r="I3" s="40" t="n">
        <v>3</v>
      </c>
      <c r="J3" s="40" t="n">
        <v>4</v>
      </c>
      <c r="K3" s="40" t="n">
        <v>5</v>
      </c>
      <c r="L3" s="40" t="n">
        <v>6</v>
      </c>
      <c r="M3" s="40" t="n">
        <v>7</v>
      </c>
      <c r="N3" s="40" t="n">
        <v>8</v>
      </c>
      <c r="O3" s="40" t="n">
        <v>9</v>
      </c>
      <c r="P3" s="40" t="n">
        <v>10</v>
      </c>
      <c r="Q3" s="40" t="n">
        <v>11</v>
      </c>
    </row>
    <row r="4" customFormat="false" ht="15" hidden="false" customHeight="false" outlineLevel="0" collapsed="false">
      <c r="A4" s="41" t="s">
        <v>53</v>
      </c>
      <c r="B4" s="41" t="s">
        <v>256</v>
      </c>
      <c r="C4" s="41" t="s">
        <v>4</v>
      </c>
      <c r="D4" s="41" t="s">
        <v>5</v>
      </c>
      <c r="E4" s="41" t="s">
        <v>257</v>
      </c>
      <c r="F4" s="41" t="s">
        <v>258</v>
      </c>
      <c r="G4" s="3" t="s">
        <v>259</v>
      </c>
      <c r="H4" s="3" t="s">
        <v>260</v>
      </c>
      <c r="I4" s="3" t="s">
        <v>261</v>
      </c>
      <c r="J4" s="3" t="s">
        <v>262</v>
      </c>
      <c r="K4" s="3" t="s">
        <v>263</v>
      </c>
      <c r="L4" s="3" t="s">
        <v>264</v>
      </c>
      <c r="M4" s="3" t="s">
        <v>265</v>
      </c>
      <c r="N4" s="3" t="s">
        <v>266</v>
      </c>
      <c r="O4" s="3" t="s">
        <v>267</v>
      </c>
      <c r="P4" s="3" t="s">
        <v>268</v>
      </c>
      <c r="Q4" s="3" t="s">
        <v>269</v>
      </c>
    </row>
    <row r="5" customFormat="false" ht="15" hidden="false" customHeight="false" outlineLevel="0" collapsed="false">
      <c r="A5" s="42"/>
      <c r="B5" s="42" t="s">
        <v>270</v>
      </c>
      <c r="C5" s="42"/>
      <c r="D5" s="42"/>
      <c r="E5" s="42"/>
      <c r="F5" s="42"/>
      <c r="G5" s="43" t="n">
        <f aca="false">$C$2+7*0</f>
        <v>46307</v>
      </c>
      <c r="H5" s="43" t="n">
        <f aca="false">$C$2+7*1</f>
        <v>46314</v>
      </c>
      <c r="I5" s="43" t="n">
        <f aca="false">$C$2+7*2</f>
        <v>46321</v>
      </c>
      <c r="J5" s="43" t="n">
        <f aca="false">$C$2+7*3</f>
        <v>46328</v>
      </c>
      <c r="K5" s="43" t="n">
        <f aca="false">$C$2+7*4</f>
        <v>46335</v>
      </c>
      <c r="L5" s="43" t="n">
        <f aca="false">$C$2+7*5</f>
        <v>46342</v>
      </c>
      <c r="M5" s="43" t="n">
        <f aca="false">$C$2+7*6</f>
        <v>46349</v>
      </c>
      <c r="N5" s="43" t="n">
        <f aca="false">$C$2+7*7</f>
        <v>46356</v>
      </c>
      <c r="O5" s="43" t="n">
        <f aca="false">$C$2+7*8</f>
        <v>46363</v>
      </c>
      <c r="P5" s="43" t="n">
        <f aca="false">$C$2+7*9</f>
        <v>46370</v>
      </c>
      <c r="Q5" s="43" t="n">
        <f aca="false">$C$2+7*10</f>
        <v>46377</v>
      </c>
    </row>
    <row r="6" customFormat="false" ht="15" hidden="false" customHeight="false" outlineLevel="0" collapsed="false">
      <c r="A6" s="28" t="s">
        <v>7</v>
      </c>
      <c r="B6" s="29" t="s">
        <v>8</v>
      </c>
      <c r="C6" s="29"/>
      <c r="D6" s="28" t="n">
        <f aca="false">'Détail charges'!E9</f>
        <v>4</v>
      </c>
      <c r="E6" s="28" t="n">
        <f aca="false">MIN(E7:E10)</f>
        <v>1</v>
      </c>
      <c r="F6" s="28" t="n">
        <f aca="false">MAX(F7:F10)</f>
        <v>1</v>
      </c>
      <c r="G6" s="44"/>
      <c r="H6" s="44"/>
      <c r="I6" s="44"/>
      <c r="J6" s="44"/>
      <c r="K6" s="44"/>
      <c r="L6" s="44"/>
      <c r="M6" s="44"/>
      <c r="N6" s="44"/>
      <c r="O6" s="44"/>
      <c r="P6" s="44"/>
      <c r="Q6" s="44"/>
    </row>
    <row r="7" customFormat="false" ht="15" hidden="false" customHeight="false" outlineLevel="0" collapsed="false">
      <c r="A7" s="45" t="s">
        <v>58</v>
      </c>
      <c r="B7" s="46" t="s">
        <v>59</v>
      </c>
      <c r="C7" s="45" t="s">
        <v>9</v>
      </c>
      <c r="D7" s="45" t="n">
        <f aca="false">'Détail charges'!E5</f>
        <v>1</v>
      </c>
      <c r="E7" s="47" t="n">
        <v>1</v>
      </c>
      <c r="F7" s="47" t="n">
        <v>1</v>
      </c>
      <c r="G7" s="48"/>
      <c r="H7" s="48"/>
      <c r="I7" s="48"/>
      <c r="J7" s="48"/>
      <c r="K7" s="48"/>
      <c r="L7" s="48"/>
      <c r="M7" s="48"/>
      <c r="N7" s="48"/>
      <c r="O7" s="48"/>
      <c r="P7" s="48"/>
      <c r="Q7" s="48"/>
    </row>
    <row r="8" customFormat="false" ht="15" hidden="false" customHeight="false" outlineLevel="0" collapsed="false">
      <c r="A8" s="45" t="s">
        <v>63</v>
      </c>
      <c r="B8" s="46" t="s">
        <v>64</v>
      </c>
      <c r="C8" s="45" t="s">
        <v>9</v>
      </c>
      <c r="D8" s="45" t="n">
        <f aca="false">'Détail charges'!E6</f>
        <v>1</v>
      </c>
      <c r="E8" s="47" t="n">
        <v>1</v>
      </c>
      <c r="F8" s="47" t="n">
        <v>1</v>
      </c>
      <c r="G8" s="48"/>
      <c r="H8" s="48"/>
      <c r="I8" s="48"/>
      <c r="J8" s="48"/>
      <c r="K8" s="48"/>
      <c r="L8" s="48"/>
      <c r="M8" s="48"/>
      <c r="N8" s="48"/>
      <c r="O8" s="48"/>
      <c r="P8" s="48"/>
      <c r="Q8" s="48"/>
    </row>
    <row r="9" customFormat="false" ht="15" hidden="false" customHeight="false" outlineLevel="0" collapsed="false">
      <c r="A9" s="45" t="s">
        <v>67</v>
      </c>
      <c r="B9" s="46" t="s">
        <v>68</v>
      </c>
      <c r="C9" s="45" t="s">
        <v>9</v>
      </c>
      <c r="D9" s="45" t="n">
        <f aca="false">'Détail charges'!E7</f>
        <v>1</v>
      </c>
      <c r="E9" s="47" t="n">
        <v>1</v>
      </c>
      <c r="F9" s="47" t="n">
        <v>1</v>
      </c>
      <c r="G9" s="48"/>
      <c r="H9" s="48"/>
      <c r="I9" s="48"/>
      <c r="J9" s="48"/>
      <c r="K9" s="48"/>
      <c r="L9" s="48"/>
      <c r="M9" s="48"/>
      <c r="N9" s="48"/>
      <c r="O9" s="48"/>
      <c r="P9" s="48"/>
      <c r="Q9" s="48"/>
    </row>
    <row r="10" customFormat="false" ht="15" hidden="false" customHeight="false" outlineLevel="0" collapsed="false">
      <c r="A10" s="45" t="s">
        <v>71</v>
      </c>
      <c r="B10" s="46" t="s">
        <v>72</v>
      </c>
      <c r="C10" s="45" t="s">
        <v>9</v>
      </c>
      <c r="D10" s="45" t="n">
        <f aca="false">'Détail charges'!E8</f>
        <v>1</v>
      </c>
      <c r="E10" s="47" t="n">
        <v>1</v>
      </c>
      <c r="F10" s="47" t="n">
        <v>1</v>
      </c>
      <c r="G10" s="48"/>
      <c r="H10" s="48"/>
      <c r="I10" s="48"/>
      <c r="J10" s="48"/>
      <c r="K10" s="48"/>
      <c r="L10" s="48"/>
      <c r="M10" s="48"/>
      <c r="N10" s="48"/>
      <c r="O10" s="48"/>
      <c r="P10" s="48"/>
      <c r="Q10" s="48"/>
    </row>
    <row r="11" customFormat="false" ht="15" hidden="false" customHeight="false" outlineLevel="0" collapsed="false">
      <c r="A11" s="28" t="s">
        <v>10</v>
      </c>
      <c r="B11" s="29" t="s">
        <v>11</v>
      </c>
      <c r="C11" s="29"/>
      <c r="D11" s="28" t="n">
        <f aca="false">'Détail charges'!E18</f>
        <v>5.5</v>
      </c>
      <c r="E11" s="28" t="n">
        <f aca="false">MIN(E12:E17)</f>
        <v>2</v>
      </c>
      <c r="F11" s="28" t="n">
        <f aca="false">MAX(F12:F17)</f>
        <v>3</v>
      </c>
      <c r="G11" s="44"/>
      <c r="H11" s="44"/>
      <c r="I11" s="44"/>
      <c r="J11" s="44"/>
      <c r="K11" s="44"/>
      <c r="L11" s="44"/>
      <c r="M11" s="44"/>
      <c r="N11" s="44"/>
      <c r="O11" s="44"/>
      <c r="P11" s="44"/>
      <c r="Q11" s="44"/>
    </row>
    <row r="12" customFormat="false" ht="15" hidden="false" customHeight="false" outlineLevel="0" collapsed="false">
      <c r="A12" s="45" t="s">
        <v>76</v>
      </c>
      <c r="B12" s="46" t="s">
        <v>77</v>
      </c>
      <c r="C12" s="45" t="s">
        <v>9</v>
      </c>
      <c r="D12" s="45" t="n">
        <f aca="false">'Détail charges'!E12</f>
        <v>1</v>
      </c>
      <c r="E12" s="47" t="n">
        <v>2</v>
      </c>
      <c r="F12" s="47" t="n">
        <v>2</v>
      </c>
      <c r="G12" s="48"/>
      <c r="H12" s="48"/>
      <c r="I12" s="48"/>
      <c r="J12" s="48"/>
      <c r="K12" s="48"/>
      <c r="L12" s="48"/>
      <c r="M12" s="48"/>
      <c r="N12" s="48"/>
      <c r="O12" s="48"/>
      <c r="P12" s="48"/>
      <c r="Q12" s="48"/>
    </row>
    <row r="13" customFormat="false" ht="15" hidden="false" customHeight="false" outlineLevel="0" collapsed="false">
      <c r="A13" s="45" t="s">
        <v>80</v>
      </c>
      <c r="B13" s="46" t="s">
        <v>81</v>
      </c>
      <c r="C13" s="45" t="s">
        <v>9</v>
      </c>
      <c r="D13" s="45" t="n">
        <f aca="false">'Détail charges'!E13</f>
        <v>1</v>
      </c>
      <c r="E13" s="47" t="n">
        <v>2</v>
      </c>
      <c r="F13" s="47" t="n">
        <v>2</v>
      </c>
      <c r="G13" s="48"/>
      <c r="H13" s="48"/>
      <c r="I13" s="48"/>
      <c r="J13" s="48"/>
      <c r="K13" s="48"/>
      <c r="L13" s="48"/>
      <c r="M13" s="48"/>
      <c r="N13" s="48"/>
      <c r="O13" s="48"/>
      <c r="P13" s="48"/>
      <c r="Q13" s="48"/>
    </row>
    <row r="14" customFormat="false" ht="15" hidden="false" customHeight="false" outlineLevel="0" collapsed="false">
      <c r="A14" s="45" t="s">
        <v>84</v>
      </c>
      <c r="B14" s="46" t="s">
        <v>85</v>
      </c>
      <c r="C14" s="45" t="s">
        <v>9</v>
      </c>
      <c r="D14" s="45" t="n">
        <f aca="false">'Détail charges'!E14</f>
        <v>1.5</v>
      </c>
      <c r="E14" s="47" t="n">
        <v>2</v>
      </c>
      <c r="F14" s="47" t="n">
        <v>2</v>
      </c>
      <c r="G14" s="48"/>
      <c r="H14" s="48"/>
      <c r="I14" s="48"/>
      <c r="J14" s="48"/>
      <c r="K14" s="48"/>
      <c r="L14" s="48"/>
      <c r="M14" s="48"/>
      <c r="N14" s="48"/>
      <c r="O14" s="48"/>
      <c r="P14" s="48"/>
      <c r="Q14" s="48"/>
    </row>
    <row r="15" customFormat="false" ht="15" hidden="false" customHeight="false" outlineLevel="0" collapsed="false">
      <c r="A15" s="45" t="s">
        <v>88</v>
      </c>
      <c r="B15" s="46" t="s">
        <v>89</v>
      </c>
      <c r="C15" s="45" t="s">
        <v>9</v>
      </c>
      <c r="D15" s="45" t="n">
        <f aca="false">'Détail charges'!E15</f>
        <v>0.5</v>
      </c>
      <c r="E15" s="47" t="n">
        <v>2</v>
      </c>
      <c r="F15" s="47" t="n">
        <v>3</v>
      </c>
      <c r="G15" s="48"/>
      <c r="H15" s="48"/>
      <c r="I15" s="48"/>
      <c r="J15" s="48"/>
      <c r="K15" s="48"/>
      <c r="L15" s="48"/>
      <c r="M15" s="48"/>
      <c r="N15" s="48"/>
      <c r="O15" s="48"/>
      <c r="P15" s="48"/>
      <c r="Q15" s="48"/>
    </row>
    <row r="16" customFormat="false" ht="15" hidden="false" customHeight="false" outlineLevel="0" collapsed="false">
      <c r="A16" s="45" t="s">
        <v>92</v>
      </c>
      <c r="B16" s="46" t="s">
        <v>93</v>
      </c>
      <c r="C16" s="45" t="s">
        <v>9</v>
      </c>
      <c r="D16" s="45" t="n">
        <f aca="false">'Détail charges'!E16</f>
        <v>0.5</v>
      </c>
      <c r="E16" s="47" t="n">
        <v>3</v>
      </c>
      <c r="F16" s="47" t="n">
        <v>3</v>
      </c>
      <c r="G16" s="48"/>
      <c r="H16" s="48"/>
      <c r="I16" s="48"/>
      <c r="J16" s="48"/>
      <c r="K16" s="48"/>
      <c r="L16" s="48"/>
      <c r="M16" s="48"/>
      <c r="N16" s="48"/>
      <c r="O16" s="48"/>
      <c r="P16" s="48"/>
      <c r="Q16" s="48"/>
    </row>
    <row r="17" customFormat="false" ht="15" hidden="false" customHeight="false" outlineLevel="0" collapsed="false">
      <c r="A17" s="45" t="s">
        <v>96</v>
      </c>
      <c r="B17" s="46" t="s">
        <v>97</v>
      </c>
      <c r="C17" s="45" t="s">
        <v>9</v>
      </c>
      <c r="D17" s="45" t="n">
        <f aca="false">'Détail charges'!E17</f>
        <v>1</v>
      </c>
      <c r="E17" s="47" t="n">
        <v>3</v>
      </c>
      <c r="F17" s="47" t="n">
        <v>3</v>
      </c>
      <c r="G17" s="48"/>
      <c r="H17" s="48"/>
      <c r="I17" s="48"/>
      <c r="J17" s="48"/>
      <c r="K17" s="48"/>
      <c r="L17" s="48"/>
      <c r="M17" s="48"/>
      <c r="N17" s="48"/>
      <c r="O17" s="48"/>
      <c r="P17" s="48"/>
      <c r="Q17" s="48"/>
    </row>
    <row r="18" customFormat="false" ht="15" hidden="false" customHeight="false" outlineLevel="0" collapsed="false">
      <c r="A18" s="28" t="s">
        <v>12</v>
      </c>
      <c r="B18" s="29" t="s">
        <v>13</v>
      </c>
      <c r="C18" s="29"/>
      <c r="D18" s="28" t="n">
        <f aca="false">'Détail charges'!E27</f>
        <v>5.5</v>
      </c>
      <c r="E18" s="28" t="n">
        <f aca="false">MIN(E19:E24)</f>
        <v>3</v>
      </c>
      <c r="F18" s="28" t="n">
        <f aca="false">MAX(F19:F24)</f>
        <v>4</v>
      </c>
      <c r="G18" s="44"/>
      <c r="H18" s="44"/>
      <c r="I18" s="44"/>
      <c r="J18" s="44"/>
      <c r="K18" s="44"/>
      <c r="L18" s="44"/>
      <c r="M18" s="44"/>
      <c r="N18" s="44"/>
      <c r="O18" s="44"/>
      <c r="P18" s="44"/>
      <c r="Q18" s="44"/>
    </row>
    <row r="19" customFormat="false" ht="15" hidden="false" customHeight="false" outlineLevel="0" collapsed="false">
      <c r="A19" s="45" t="s">
        <v>102</v>
      </c>
      <c r="B19" s="46" t="s">
        <v>103</v>
      </c>
      <c r="C19" s="45" t="s">
        <v>9</v>
      </c>
      <c r="D19" s="45" t="n">
        <f aca="false">'Détail charges'!E21</f>
        <v>1.5</v>
      </c>
      <c r="E19" s="47" t="n">
        <v>3</v>
      </c>
      <c r="F19" s="47" t="n">
        <v>3</v>
      </c>
      <c r="G19" s="48"/>
      <c r="H19" s="48"/>
      <c r="I19" s="48"/>
      <c r="J19" s="48"/>
      <c r="K19" s="48"/>
      <c r="L19" s="48"/>
      <c r="M19" s="48"/>
      <c r="N19" s="48"/>
      <c r="O19" s="48"/>
      <c r="P19" s="48"/>
      <c r="Q19" s="48"/>
    </row>
    <row r="20" customFormat="false" ht="15" hidden="false" customHeight="false" outlineLevel="0" collapsed="false">
      <c r="A20" s="45" t="s">
        <v>106</v>
      </c>
      <c r="B20" s="46" t="s">
        <v>107</v>
      </c>
      <c r="C20" s="45" t="s">
        <v>9</v>
      </c>
      <c r="D20" s="45" t="n">
        <f aca="false">'Détail charges'!E22</f>
        <v>1</v>
      </c>
      <c r="E20" s="47" t="n">
        <v>3</v>
      </c>
      <c r="F20" s="47" t="n">
        <v>4</v>
      </c>
      <c r="G20" s="48"/>
      <c r="H20" s="48"/>
      <c r="I20" s="48"/>
      <c r="J20" s="48"/>
      <c r="K20" s="48"/>
      <c r="L20" s="48"/>
      <c r="M20" s="48"/>
      <c r="N20" s="48"/>
      <c r="O20" s="48"/>
      <c r="P20" s="48"/>
      <c r="Q20" s="48"/>
    </row>
    <row r="21" customFormat="false" ht="15" hidden="false" customHeight="false" outlineLevel="0" collapsed="false">
      <c r="A21" s="45" t="s">
        <v>110</v>
      </c>
      <c r="B21" s="46" t="s">
        <v>111</v>
      </c>
      <c r="C21" s="45" t="s">
        <v>9</v>
      </c>
      <c r="D21" s="45" t="n">
        <f aca="false">'Détail charges'!E23</f>
        <v>0.5</v>
      </c>
      <c r="E21" s="47" t="n">
        <v>4</v>
      </c>
      <c r="F21" s="47" t="n">
        <v>4</v>
      </c>
      <c r="G21" s="48"/>
      <c r="H21" s="48"/>
      <c r="I21" s="48"/>
      <c r="J21" s="48"/>
      <c r="K21" s="48"/>
      <c r="L21" s="48"/>
      <c r="M21" s="48"/>
      <c r="N21" s="48"/>
      <c r="O21" s="48"/>
      <c r="P21" s="48"/>
      <c r="Q21" s="48"/>
    </row>
    <row r="22" customFormat="false" ht="15" hidden="false" customHeight="false" outlineLevel="0" collapsed="false">
      <c r="A22" s="45" t="s">
        <v>114</v>
      </c>
      <c r="B22" s="46" t="s">
        <v>115</v>
      </c>
      <c r="C22" s="45" t="s">
        <v>9</v>
      </c>
      <c r="D22" s="45" t="n">
        <f aca="false">'Détail charges'!E24</f>
        <v>0.5</v>
      </c>
      <c r="E22" s="47" t="n">
        <v>4</v>
      </c>
      <c r="F22" s="47" t="n">
        <v>4</v>
      </c>
      <c r="G22" s="48"/>
      <c r="H22" s="48"/>
      <c r="I22" s="48"/>
      <c r="J22" s="48"/>
      <c r="K22" s="48"/>
      <c r="L22" s="48"/>
      <c r="M22" s="48"/>
      <c r="N22" s="48"/>
      <c r="O22" s="48"/>
      <c r="P22" s="48"/>
      <c r="Q22" s="48"/>
    </row>
    <row r="23" customFormat="false" ht="15" hidden="false" customHeight="false" outlineLevel="0" collapsed="false">
      <c r="A23" s="45" t="s">
        <v>119</v>
      </c>
      <c r="B23" s="46" t="s">
        <v>120</v>
      </c>
      <c r="C23" s="45" t="s">
        <v>9</v>
      </c>
      <c r="D23" s="45" t="n">
        <f aca="false">'Détail charges'!E25</f>
        <v>1</v>
      </c>
      <c r="E23" s="47" t="n">
        <v>4</v>
      </c>
      <c r="F23" s="47" t="n">
        <v>4</v>
      </c>
      <c r="G23" s="48"/>
      <c r="H23" s="48"/>
      <c r="I23" s="48"/>
      <c r="J23" s="48"/>
      <c r="K23" s="48"/>
      <c r="L23" s="48"/>
      <c r="M23" s="48"/>
      <c r="N23" s="48"/>
      <c r="O23" s="48"/>
      <c r="P23" s="48"/>
      <c r="Q23" s="48"/>
    </row>
    <row r="24" customFormat="false" ht="15" hidden="false" customHeight="false" outlineLevel="0" collapsed="false">
      <c r="A24" s="45" t="s">
        <v>123</v>
      </c>
      <c r="B24" s="46" t="s">
        <v>124</v>
      </c>
      <c r="C24" s="45" t="s">
        <v>9</v>
      </c>
      <c r="D24" s="45" t="n">
        <f aca="false">'Détail charges'!E26</f>
        <v>1</v>
      </c>
      <c r="E24" s="47" t="n">
        <v>4</v>
      </c>
      <c r="F24" s="47" t="n">
        <v>4</v>
      </c>
      <c r="G24" s="48"/>
      <c r="H24" s="48"/>
      <c r="I24" s="48"/>
      <c r="J24" s="48"/>
      <c r="K24" s="48"/>
      <c r="L24" s="48"/>
      <c r="M24" s="48"/>
      <c r="N24" s="48"/>
      <c r="O24" s="48"/>
      <c r="P24" s="48"/>
      <c r="Q24" s="48"/>
    </row>
    <row r="25" customFormat="false" ht="15" hidden="false" customHeight="false" outlineLevel="0" collapsed="false">
      <c r="A25" s="28" t="s">
        <v>14</v>
      </c>
      <c r="B25" s="29" t="s">
        <v>15</v>
      </c>
      <c r="C25" s="29"/>
      <c r="D25" s="28" t="n">
        <f aca="false">'Détail charges'!E36</f>
        <v>9</v>
      </c>
      <c r="E25" s="28" t="n">
        <f aca="false">MIN(E26:E31)</f>
        <v>4</v>
      </c>
      <c r="F25" s="28" t="n">
        <f aca="false">MAX(F26:F31)</f>
        <v>6</v>
      </c>
      <c r="G25" s="44"/>
      <c r="H25" s="44"/>
      <c r="I25" s="44"/>
      <c r="J25" s="44"/>
      <c r="K25" s="44"/>
      <c r="L25" s="44"/>
      <c r="M25" s="44"/>
      <c r="N25" s="44"/>
      <c r="O25" s="44"/>
      <c r="P25" s="44"/>
      <c r="Q25" s="44"/>
    </row>
    <row r="26" customFormat="false" ht="15" hidden="false" customHeight="false" outlineLevel="0" collapsed="false">
      <c r="A26" s="45" t="s">
        <v>128</v>
      </c>
      <c r="B26" s="46" t="s">
        <v>129</v>
      </c>
      <c r="C26" s="45" t="s">
        <v>9</v>
      </c>
      <c r="D26" s="45" t="n">
        <f aca="false">'Détail charges'!E30</f>
        <v>3</v>
      </c>
      <c r="E26" s="47" t="n">
        <v>4</v>
      </c>
      <c r="F26" s="47" t="n">
        <v>5</v>
      </c>
      <c r="G26" s="48"/>
      <c r="H26" s="48"/>
      <c r="I26" s="48"/>
      <c r="J26" s="48"/>
      <c r="K26" s="48"/>
      <c r="L26" s="48"/>
      <c r="M26" s="48"/>
      <c r="N26" s="48"/>
      <c r="O26" s="48"/>
      <c r="P26" s="48"/>
      <c r="Q26" s="48"/>
    </row>
    <row r="27" customFormat="false" ht="15" hidden="false" customHeight="false" outlineLevel="0" collapsed="false">
      <c r="A27" s="45" t="s">
        <v>132</v>
      </c>
      <c r="B27" s="46" t="s">
        <v>133</v>
      </c>
      <c r="C27" s="45" t="s">
        <v>9</v>
      </c>
      <c r="D27" s="45" t="n">
        <f aca="false">'Détail charges'!E31</f>
        <v>1</v>
      </c>
      <c r="E27" s="47" t="n">
        <v>5</v>
      </c>
      <c r="F27" s="47" t="n">
        <v>5</v>
      </c>
      <c r="G27" s="48"/>
      <c r="H27" s="48"/>
      <c r="I27" s="48"/>
      <c r="J27" s="48"/>
      <c r="K27" s="48"/>
      <c r="L27" s="48"/>
      <c r="M27" s="48"/>
      <c r="N27" s="48"/>
      <c r="O27" s="48"/>
      <c r="P27" s="48"/>
      <c r="Q27" s="48"/>
    </row>
    <row r="28" customFormat="false" ht="15" hidden="false" customHeight="false" outlineLevel="0" collapsed="false">
      <c r="A28" s="45" t="s">
        <v>136</v>
      </c>
      <c r="B28" s="46" t="s">
        <v>137</v>
      </c>
      <c r="C28" s="45" t="s">
        <v>9</v>
      </c>
      <c r="D28" s="45" t="n">
        <f aca="false">'Détail charges'!E32</f>
        <v>0.5</v>
      </c>
      <c r="E28" s="47" t="n">
        <v>5</v>
      </c>
      <c r="F28" s="47" t="n">
        <v>5</v>
      </c>
      <c r="G28" s="48"/>
      <c r="H28" s="48"/>
      <c r="I28" s="48"/>
      <c r="J28" s="48"/>
      <c r="K28" s="48"/>
      <c r="L28" s="48"/>
      <c r="M28" s="48"/>
      <c r="N28" s="48"/>
      <c r="O28" s="48"/>
      <c r="P28" s="48"/>
      <c r="Q28" s="48"/>
    </row>
    <row r="29" customFormat="false" ht="15" hidden="false" customHeight="false" outlineLevel="0" collapsed="false">
      <c r="A29" s="45" t="s">
        <v>140</v>
      </c>
      <c r="B29" s="46" t="s">
        <v>141</v>
      </c>
      <c r="C29" s="45" t="s">
        <v>9</v>
      </c>
      <c r="D29" s="45" t="n">
        <f aca="false">'Détail charges'!E33</f>
        <v>2</v>
      </c>
      <c r="E29" s="47" t="n">
        <v>5</v>
      </c>
      <c r="F29" s="47" t="n">
        <v>6</v>
      </c>
      <c r="G29" s="48"/>
      <c r="H29" s="48"/>
      <c r="I29" s="48"/>
      <c r="J29" s="48"/>
      <c r="K29" s="48"/>
      <c r="L29" s="48"/>
      <c r="M29" s="48"/>
      <c r="N29" s="48"/>
      <c r="O29" s="48"/>
      <c r="P29" s="48"/>
      <c r="Q29" s="48"/>
    </row>
    <row r="30" customFormat="false" ht="15" hidden="false" customHeight="false" outlineLevel="0" collapsed="false">
      <c r="A30" s="45" t="s">
        <v>144</v>
      </c>
      <c r="B30" s="46" t="s">
        <v>145</v>
      </c>
      <c r="C30" s="45" t="s">
        <v>9</v>
      </c>
      <c r="D30" s="45" t="n">
        <f aca="false">'Détail charges'!E34</f>
        <v>2</v>
      </c>
      <c r="E30" s="47" t="n">
        <v>6</v>
      </c>
      <c r="F30" s="47" t="n">
        <v>6</v>
      </c>
      <c r="G30" s="48"/>
      <c r="H30" s="48"/>
      <c r="I30" s="48"/>
      <c r="J30" s="48"/>
      <c r="K30" s="48"/>
      <c r="L30" s="48"/>
      <c r="M30" s="48"/>
      <c r="N30" s="48"/>
      <c r="O30" s="48"/>
      <c r="P30" s="48"/>
      <c r="Q30" s="48"/>
    </row>
    <row r="31" customFormat="false" ht="15" hidden="false" customHeight="false" outlineLevel="0" collapsed="false">
      <c r="A31" s="45" t="s">
        <v>148</v>
      </c>
      <c r="B31" s="46" t="s">
        <v>149</v>
      </c>
      <c r="C31" s="45" t="s">
        <v>9</v>
      </c>
      <c r="D31" s="45" t="n">
        <f aca="false">'Détail charges'!E35</f>
        <v>0.5</v>
      </c>
      <c r="E31" s="47" t="n">
        <v>6</v>
      </c>
      <c r="F31" s="47" t="n">
        <v>6</v>
      </c>
      <c r="G31" s="48"/>
      <c r="H31" s="48"/>
      <c r="I31" s="48"/>
      <c r="J31" s="48"/>
      <c r="K31" s="48"/>
      <c r="L31" s="48"/>
      <c r="M31" s="48"/>
      <c r="N31" s="48"/>
      <c r="O31" s="48"/>
      <c r="P31" s="48"/>
      <c r="Q31" s="48"/>
    </row>
    <row r="32" customFormat="false" ht="15" hidden="false" customHeight="false" outlineLevel="0" collapsed="false">
      <c r="A32" s="28" t="s">
        <v>16</v>
      </c>
      <c r="B32" s="29" t="s">
        <v>17</v>
      </c>
      <c r="C32" s="29"/>
      <c r="D32" s="28" t="n">
        <f aca="false">'Détail charges'!E45</f>
        <v>4</v>
      </c>
      <c r="E32" s="28" t="n">
        <f aca="false">MIN(E33:E38)</f>
        <v>6</v>
      </c>
      <c r="F32" s="28" t="n">
        <f aca="false">MAX(F33:F38)</f>
        <v>7</v>
      </c>
      <c r="G32" s="44"/>
      <c r="H32" s="44"/>
      <c r="I32" s="44"/>
      <c r="J32" s="44"/>
      <c r="K32" s="44"/>
      <c r="L32" s="44"/>
      <c r="M32" s="44"/>
      <c r="N32" s="44"/>
      <c r="O32" s="44"/>
      <c r="P32" s="44"/>
      <c r="Q32" s="44"/>
    </row>
    <row r="33" customFormat="false" ht="15" hidden="false" customHeight="false" outlineLevel="0" collapsed="false">
      <c r="A33" s="45" t="s">
        <v>153</v>
      </c>
      <c r="B33" s="46" t="s">
        <v>154</v>
      </c>
      <c r="C33" s="45" t="s">
        <v>9</v>
      </c>
      <c r="D33" s="45" t="n">
        <f aca="false">'Détail charges'!E39</f>
        <v>0.5</v>
      </c>
      <c r="E33" s="47" t="n">
        <v>6</v>
      </c>
      <c r="F33" s="47" t="n">
        <v>6</v>
      </c>
      <c r="G33" s="48"/>
      <c r="H33" s="48"/>
      <c r="I33" s="48"/>
      <c r="J33" s="48"/>
      <c r="K33" s="48"/>
      <c r="L33" s="48"/>
      <c r="M33" s="48"/>
      <c r="N33" s="48"/>
      <c r="O33" s="48"/>
      <c r="P33" s="48"/>
      <c r="Q33" s="48"/>
    </row>
    <row r="34" customFormat="false" ht="15" hidden="false" customHeight="false" outlineLevel="0" collapsed="false">
      <c r="A34" s="45" t="s">
        <v>157</v>
      </c>
      <c r="B34" s="46" t="s">
        <v>158</v>
      </c>
      <c r="C34" s="45" t="s">
        <v>9</v>
      </c>
      <c r="D34" s="45" t="n">
        <f aca="false">'Détail charges'!E40</f>
        <v>0.5</v>
      </c>
      <c r="E34" s="47" t="n">
        <v>6</v>
      </c>
      <c r="F34" s="47" t="n">
        <v>6</v>
      </c>
      <c r="G34" s="48"/>
      <c r="H34" s="48"/>
      <c r="I34" s="48"/>
      <c r="J34" s="48"/>
      <c r="K34" s="48"/>
      <c r="L34" s="48"/>
      <c r="M34" s="48"/>
      <c r="N34" s="48"/>
      <c r="O34" s="48"/>
      <c r="P34" s="48"/>
      <c r="Q34" s="48"/>
    </row>
    <row r="35" customFormat="false" ht="15" hidden="false" customHeight="false" outlineLevel="0" collapsed="false">
      <c r="A35" s="45" t="s">
        <v>162</v>
      </c>
      <c r="B35" s="46" t="s">
        <v>163</v>
      </c>
      <c r="C35" s="45" t="s">
        <v>9</v>
      </c>
      <c r="D35" s="45" t="n">
        <f aca="false">'Détail charges'!E41</f>
        <v>1</v>
      </c>
      <c r="E35" s="47" t="n">
        <v>7</v>
      </c>
      <c r="F35" s="47" t="n">
        <v>7</v>
      </c>
      <c r="G35" s="48"/>
      <c r="H35" s="48"/>
      <c r="I35" s="48"/>
      <c r="J35" s="48"/>
      <c r="K35" s="48"/>
      <c r="L35" s="48"/>
      <c r="M35" s="48"/>
      <c r="N35" s="48"/>
      <c r="O35" s="48"/>
      <c r="P35" s="48"/>
      <c r="Q35" s="48"/>
    </row>
    <row r="36" customFormat="false" ht="15" hidden="false" customHeight="false" outlineLevel="0" collapsed="false">
      <c r="A36" s="45" t="s">
        <v>166</v>
      </c>
      <c r="B36" s="46" t="s">
        <v>167</v>
      </c>
      <c r="C36" s="45" t="s">
        <v>9</v>
      </c>
      <c r="D36" s="45" t="n">
        <f aca="false">'Détail charges'!E42</f>
        <v>1</v>
      </c>
      <c r="E36" s="47" t="n">
        <v>7</v>
      </c>
      <c r="F36" s="47" t="n">
        <v>7</v>
      </c>
      <c r="G36" s="48"/>
      <c r="H36" s="48"/>
      <c r="I36" s="48"/>
      <c r="J36" s="48"/>
      <c r="K36" s="48"/>
      <c r="L36" s="48"/>
      <c r="M36" s="48"/>
      <c r="N36" s="48"/>
      <c r="O36" s="48"/>
      <c r="P36" s="48"/>
      <c r="Q36" s="48"/>
    </row>
    <row r="37" customFormat="false" ht="15" hidden="false" customHeight="false" outlineLevel="0" collapsed="false">
      <c r="A37" s="45" t="s">
        <v>170</v>
      </c>
      <c r="B37" s="46" t="s">
        <v>171</v>
      </c>
      <c r="C37" s="45" t="s">
        <v>9</v>
      </c>
      <c r="D37" s="45" t="n">
        <f aca="false">'Détail charges'!E43</f>
        <v>0.5</v>
      </c>
      <c r="E37" s="47" t="n">
        <v>7</v>
      </c>
      <c r="F37" s="47" t="n">
        <v>7</v>
      </c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48"/>
    </row>
    <row r="38" customFormat="false" ht="15" hidden="false" customHeight="false" outlineLevel="0" collapsed="false">
      <c r="A38" s="45" t="s">
        <v>174</v>
      </c>
      <c r="B38" s="46" t="s">
        <v>175</v>
      </c>
      <c r="C38" s="45" t="s">
        <v>9</v>
      </c>
      <c r="D38" s="45" t="n">
        <f aca="false">'Détail charges'!E44</f>
        <v>0.5</v>
      </c>
      <c r="E38" s="47" t="n">
        <v>7</v>
      </c>
      <c r="F38" s="47" t="n">
        <v>7</v>
      </c>
      <c r="G38" s="48"/>
      <c r="H38" s="48"/>
      <c r="I38" s="48"/>
      <c r="J38" s="48"/>
      <c r="K38" s="48"/>
      <c r="L38" s="48"/>
      <c r="M38" s="48"/>
      <c r="N38" s="48"/>
      <c r="O38" s="48"/>
      <c r="P38" s="48"/>
      <c r="Q38" s="48"/>
    </row>
    <row r="39" customFormat="false" ht="15" hidden="false" customHeight="false" outlineLevel="0" collapsed="false">
      <c r="A39" s="28" t="s">
        <v>18</v>
      </c>
      <c r="B39" s="29" t="s">
        <v>19</v>
      </c>
      <c r="C39" s="29"/>
      <c r="D39" s="28" t="n">
        <f aca="false">'Détail charges'!E52</f>
        <v>6</v>
      </c>
      <c r="E39" s="28" t="n">
        <f aca="false">MIN(E40:E43)</f>
        <v>7</v>
      </c>
      <c r="F39" s="28" t="n">
        <f aca="false">MAX(F40:F43)</f>
        <v>8</v>
      </c>
      <c r="G39" s="44"/>
      <c r="H39" s="44"/>
      <c r="I39" s="44"/>
      <c r="J39" s="44"/>
      <c r="K39" s="44"/>
      <c r="L39" s="44"/>
      <c r="M39" s="44"/>
      <c r="N39" s="44"/>
      <c r="O39" s="44"/>
      <c r="P39" s="44"/>
      <c r="Q39" s="44"/>
    </row>
    <row r="40" customFormat="false" ht="15" hidden="false" customHeight="false" outlineLevel="0" collapsed="false">
      <c r="A40" s="45" t="s">
        <v>178</v>
      </c>
      <c r="B40" s="46" t="s">
        <v>179</v>
      </c>
      <c r="C40" s="45" t="s">
        <v>9</v>
      </c>
      <c r="D40" s="45" t="n">
        <f aca="false">'Détail charges'!E48</f>
        <v>2</v>
      </c>
      <c r="E40" s="47" t="n">
        <v>7</v>
      </c>
      <c r="F40" s="47" t="n">
        <v>7</v>
      </c>
      <c r="G40" s="48"/>
      <c r="H40" s="48"/>
      <c r="I40" s="48"/>
      <c r="J40" s="48"/>
      <c r="K40" s="48"/>
      <c r="L40" s="48"/>
      <c r="M40" s="48"/>
      <c r="N40" s="48"/>
      <c r="O40" s="48"/>
      <c r="P40" s="48"/>
      <c r="Q40" s="48"/>
    </row>
    <row r="41" customFormat="false" ht="15" hidden="false" customHeight="false" outlineLevel="0" collapsed="false">
      <c r="A41" s="45" t="s">
        <v>182</v>
      </c>
      <c r="B41" s="46" t="s">
        <v>183</v>
      </c>
      <c r="C41" s="45" t="s">
        <v>9</v>
      </c>
      <c r="D41" s="45" t="n">
        <f aca="false">'Détail charges'!E49</f>
        <v>2</v>
      </c>
      <c r="E41" s="47" t="n">
        <v>8</v>
      </c>
      <c r="F41" s="47" t="n">
        <v>8</v>
      </c>
      <c r="G41" s="48"/>
      <c r="H41" s="48"/>
      <c r="I41" s="48"/>
      <c r="J41" s="48"/>
      <c r="K41" s="48"/>
      <c r="L41" s="48"/>
      <c r="M41" s="48"/>
      <c r="N41" s="48"/>
      <c r="O41" s="48"/>
      <c r="P41" s="48"/>
      <c r="Q41" s="48"/>
    </row>
    <row r="42" customFormat="false" ht="15" hidden="false" customHeight="false" outlineLevel="0" collapsed="false">
      <c r="A42" s="45" t="s">
        <v>186</v>
      </c>
      <c r="B42" s="46" t="s">
        <v>187</v>
      </c>
      <c r="C42" s="45" t="s">
        <v>9</v>
      </c>
      <c r="D42" s="45" t="n">
        <f aca="false">'Détail charges'!E50</f>
        <v>0.5</v>
      </c>
      <c r="E42" s="47" t="n">
        <v>8</v>
      </c>
      <c r="F42" s="47" t="n">
        <v>8</v>
      </c>
      <c r="G42" s="48"/>
      <c r="H42" s="48"/>
      <c r="I42" s="48"/>
      <c r="J42" s="48"/>
      <c r="K42" s="48"/>
      <c r="L42" s="48"/>
      <c r="M42" s="48"/>
      <c r="N42" s="48"/>
      <c r="O42" s="48"/>
      <c r="P42" s="48"/>
      <c r="Q42" s="48"/>
    </row>
    <row r="43" customFormat="false" ht="15" hidden="false" customHeight="false" outlineLevel="0" collapsed="false">
      <c r="A43" s="45" t="s">
        <v>190</v>
      </c>
      <c r="B43" s="46" t="s">
        <v>191</v>
      </c>
      <c r="C43" s="45" t="s">
        <v>9</v>
      </c>
      <c r="D43" s="45" t="n">
        <f aca="false">'Détail charges'!E51</f>
        <v>1.5</v>
      </c>
      <c r="E43" s="47" t="n">
        <v>8</v>
      </c>
      <c r="F43" s="47" t="n">
        <v>8</v>
      </c>
      <c r="G43" s="48"/>
      <c r="H43" s="48"/>
      <c r="I43" s="48"/>
      <c r="J43" s="48"/>
      <c r="K43" s="48"/>
      <c r="L43" s="48"/>
      <c r="M43" s="48"/>
      <c r="N43" s="48"/>
      <c r="O43" s="48"/>
      <c r="P43" s="48"/>
      <c r="Q43" s="48"/>
    </row>
    <row r="44" customFormat="false" ht="15" hidden="false" customHeight="false" outlineLevel="0" collapsed="false">
      <c r="A44" s="28" t="s">
        <v>20</v>
      </c>
      <c r="B44" s="29" t="s">
        <v>21</v>
      </c>
      <c r="C44" s="29"/>
      <c r="D44" s="28" t="n">
        <f aca="false">'Détail charges'!E60</f>
        <v>5.5</v>
      </c>
      <c r="E44" s="28" t="n">
        <f aca="false">MIN(E45:E49)</f>
        <v>6</v>
      </c>
      <c r="F44" s="28" t="n">
        <f aca="false">MAX(F45:F49)</f>
        <v>9</v>
      </c>
      <c r="G44" s="44"/>
      <c r="H44" s="44"/>
      <c r="I44" s="44"/>
      <c r="J44" s="44"/>
      <c r="K44" s="44"/>
      <c r="L44" s="44"/>
      <c r="M44" s="44"/>
      <c r="N44" s="44"/>
      <c r="O44" s="44"/>
      <c r="P44" s="44"/>
      <c r="Q44" s="44"/>
    </row>
    <row r="45" customFormat="false" ht="15" hidden="false" customHeight="false" outlineLevel="0" collapsed="false">
      <c r="A45" s="45" t="s">
        <v>195</v>
      </c>
      <c r="B45" s="46" t="s">
        <v>196</v>
      </c>
      <c r="C45" s="45" t="s">
        <v>22</v>
      </c>
      <c r="D45" s="45" t="n">
        <f aca="false">'Détail charges'!E55</f>
        <v>1.5</v>
      </c>
      <c r="E45" s="47" t="n">
        <v>6</v>
      </c>
      <c r="F45" s="47" t="n">
        <v>6</v>
      </c>
      <c r="G45" s="48"/>
      <c r="H45" s="48"/>
      <c r="I45" s="48"/>
      <c r="J45" s="48"/>
      <c r="K45" s="48"/>
      <c r="L45" s="48"/>
      <c r="M45" s="48"/>
      <c r="N45" s="48"/>
      <c r="O45" s="48"/>
      <c r="P45" s="48"/>
      <c r="Q45" s="48"/>
    </row>
    <row r="46" customFormat="false" ht="15" hidden="false" customHeight="false" outlineLevel="0" collapsed="false">
      <c r="A46" s="45" t="s">
        <v>199</v>
      </c>
      <c r="B46" s="46" t="s">
        <v>200</v>
      </c>
      <c r="C46" s="45" t="s">
        <v>22</v>
      </c>
      <c r="D46" s="45" t="n">
        <f aca="false">'Détail charges'!E56</f>
        <v>1</v>
      </c>
      <c r="E46" s="47" t="n">
        <v>6</v>
      </c>
      <c r="F46" s="47" t="n">
        <v>7</v>
      </c>
      <c r="G46" s="48"/>
      <c r="H46" s="48"/>
      <c r="I46" s="48"/>
      <c r="J46" s="48"/>
      <c r="K46" s="48"/>
      <c r="L46" s="48"/>
      <c r="M46" s="48"/>
      <c r="N46" s="48"/>
      <c r="O46" s="48"/>
      <c r="P46" s="48"/>
      <c r="Q46" s="48"/>
    </row>
    <row r="47" customFormat="false" ht="15" hidden="false" customHeight="false" outlineLevel="0" collapsed="false">
      <c r="A47" s="45" t="s">
        <v>203</v>
      </c>
      <c r="B47" s="46" t="s">
        <v>204</v>
      </c>
      <c r="C47" s="45" t="s">
        <v>22</v>
      </c>
      <c r="D47" s="45" t="n">
        <f aca="false">'Détail charges'!E57</f>
        <v>0.5</v>
      </c>
      <c r="E47" s="47" t="n">
        <v>7</v>
      </c>
      <c r="F47" s="47" t="n">
        <v>7</v>
      </c>
      <c r="G47" s="48"/>
      <c r="H47" s="48"/>
      <c r="I47" s="48"/>
      <c r="J47" s="48"/>
      <c r="K47" s="48"/>
      <c r="L47" s="48"/>
      <c r="M47" s="48"/>
      <c r="N47" s="48"/>
      <c r="O47" s="48"/>
      <c r="P47" s="48"/>
      <c r="Q47" s="48"/>
    </row>
    <row r="48" customFormat="false" ht="15" hidden="false" customHeight="false" outlineLevel="0" collapsed="false">
      <c r="A48" s="45" t="s">
        <v>207</v>
      </c>
      <c r="B48" s="46" t="s">
        <v>208</v>
      </c>
      <c r="C48" s="45" t="s">
        <v>22</v>
      </c>
      <c r="D48" s="45" t="n">
        <f aca="false">'Détail charges'!E58</f>
        <v>1</v>
      </c>
      <c r="E48" s="47" t="n">
        <v>7</v>
      </c>
      <c r="F48" s="47" t="n">
        <v>7</v>
      </c>
      <c r="G48" s="48"/>
      <c r="H48" s="48"/>
      <c r="I48" s="48"/>
      <c r="J48" s="48"/>
      <c r="K48" s="48"/>
      <c r="L48" s="48"/>
      <c r="M48" s="48"/>
      <c r="N48" s="48"/>
      <c r="O48" s="48"/>
      <c r="P48" s="48"/>
      <c r="Q48" s="48"/>
    </row>
    <row r="49" customFormat="false" ht="15" hidden="false" customHeight="false" outlineLevel="0" collapsed="false">
      <c r="A49" s="45" t="s">
        <v>211</v>
      </c>
      <c r="B49" s="46" t="s">
        <v>212</v>
      </c>
      <c r="C49" s="45" t="s">
        <v>22</v>
      </c>
      <c r="D49" s="45" t="n">
        <f aca="false">'Détail charges'!E59</f>
        <v>1.5</v>
      </c>
      <c r="E49" s="47" t="n">
        <v>8</v>
      </c>
      <c r="F49" s="47" t="n">
        <v>9</v>
      </c>
      <c r="G49" s="48"/>
      <c r="H49" s="48"/>
      <c r="I49" s="48"/>
      <c r="J49" s="48"/>
      <c r="K49" s="48"/>
      <c r="L49" s="48"/>
      <c r="M49" s="48"/>
      <c r="N49" s="48"/>
      <c r="O49" s="48"/>
      <c r="P49" s="48"/>
      <c r="Q49" s="48"/>
    </row>
    <row r="50" customFormat="false" ht="15" hidden="false" customHeight="false" outlineLevel="0" collapsed="false">
      <c r="A50" s="28" t="s">
        <v>23</v>
      </c>
      <c r="B50" s="29" t="s">
        <v>24</v>
      </c>
      <c r="C50" s="29"/>
      <c r="D50" s="28" t="n">
        <f aca="false">'Détail charges'!E65</f>
        <v>1.5</v>
      </c>
      <c r="E50" s="28" t="n">
        <f aca="false">MIN(E51:E52)</f>
        <v>9</v>
      </c>
      <c r="F50" s="28" t="n">
        <f aca="false">MAX(F51:F52)</f>
        <v>9</v>
      </c>
      <c r="G50" s="44"/>
      <c r="H50" s="44"/>
      <c r="I50" s="44"/>
      <c r="J50" s="44"/>
      <c r="K50" s="44"/>
      <c r="L50" s="44"/>
      <c r="M50" s="44"/>
      <c r="N50" s="44"/>
      <c r="O50" s="44"/>
      <c r="P50" s="44"/>
      <c r="Q50" s="44"/>
    </row>
    <row r="51" customFormat="false" ht="15" hidden="false" customHeight="false" outlineLevel="0" collapsed="false">
      <c r="A51" s="45" t="s">
        <v>216</v>
      </c>
      <c r="B51" s="46" t="s">
        <v>217</v>
      </c>
      <c r="C51" s="45" t="s">
        <v>9</v>
      </c>
      <c r="D51" s="45" t="n">
        <f aca="false">'Détail charges'!E63</f>
        <v>0.5</v>
      </c>
      <c r="E51" s="47" t="n">
        <v>9</v>
      </c>
      <c r="F51" s="47" t="n">
        <v>9</v>
      </c>
      <c r="G51" s="48"/>
      <c r="H51" s="48"/>
      <c r="I51" s="48"/>
      <c r="J51" s="48"/>
      <c r="K51" s="48"/>
      <c r="L51" s="48"/>
      <c r="M51" s="48"/>
      <c r="N51" s="48"/>
      <c r="O51" s="48"/>
      <c r="P51" s="48"/>
      <c r="Q51" s="48"/>
    </row>
    <row r="52" customFormat="false" ht="15" hidden="false" customHeight="false" outlineLevel="0" collapsed="false">
      <c r="A52" s="45" t="s">
        <v>220</v>
      </c>
      <c r="B52" s="46" t="s">
        <v>221</v>
      </c>
      <c r="C52" s="45" t="s">
        <v>9</v>
      </c>
      <c r="D52" s="45" t="n">
        <f aca="false">'Détail charges'!E64</f>
        <v>1</v>
      </c>
      <c r="E52" s="47" t="n">
        <v>9</v>
      </c>
      <c r="F52" s="47" t="n">
        <v>9</v>
      </c>
      <c r="G52" s="48"/>
      <c r="H52" s="48"/>
      <c r="I52" s="48"/>
      <c r="J52" s="48"/>
      <c r="K52" s="48"/>
      <c r="L52" s="48"/>
      <c r="M52" s="48"/>
      <c r="N52" s="48"/>
      <c r="O52" s="48"/>
      <c r="P52" s="48"/>
      <c r="Q52" s="48"/>
    </row>
    <row r="53" customFormat="false" ht="15" hidden="false" customHeight="false" outlineLevel="0" collapsed="false">
      <c r="A53" s="28" t="s">
        <v>25</v>
      </c>
      <c r="B53" s="29" t="s">
        <v>26</v>
      </c>
      <c r="C53" s="29"/>
      <c r="D53" s="28" t="n">
        <f aca="false">'Détail charges'!E71</f>
        <v>5.5</v>
      </c>
      <c r="E53" s="28" t="n">
        <f aca="false">MIN(E54:E56)</f>
        <v>9</v>
      </c>
      <c r="F53" s="28" t="n">
        <f aca="false">MAX(F54:F56)</f>
        <v>10</v>
      </c>
      <c r="G53" s="44"/>
      <c r="H53" s="44"/>
      <c r="I53" s="44"/>
      <c r="J53" s="44"/>
      <c r="K53" s="44"/>
      <c r="L53" s="44"/>
      <c r="M53" s="44"/>
      <c r="N53" s="44"/>
      <c r="O53" s="44"/>
      <c r="P53" s="44"/>
      <c r="Q53" s="44"/>
    </row>
    <row r="54" customFormat="false" ht="15" hidden="false" customHeight="false" outlineLevel="0" collapsed="false">
      <c r="A54" s="45" t="s">
        <v>224</v>
      </c>
      <c r="B54" s="46" t="s">
        <v>225</v>
      </c>
      <c r="C54" s="45" t="s">
        <v>9</v>
      </c>
      <c r="D54" s="45" t="n">
        <f aca="false">'Détail charges'!E68</f>
        <v>2</v>
      </c>
      <c r="E54" s="47" t="n">
        <v>9</v>
      </c>
      <c r="F54" s="47" t="n">
        <v>9</v>
      </c>
      <c r="G54" s="48"/>
      <c r="H54" s="48"/>
      <c r="I54" s="48"/>
      <c r="J54" s="48"/>
      <c r="K54" s="48"/>
      <c r="L54" s="48"/>
      <c r="M54" s="48"/>
      <c r="N54" s="48"/>
      <c r="O54" s="48"/>
      <c r="P54" s="48"/>
      <c r="Q54" s="48"/>
    </row>
    <row r="55" customFormat="false" ht="15" hidden="false" customHeight="false" outlineLevel="0" collapsed="false">
      <c r="A55" s="45" t="s">
        <v>228</v>
      </c>
      <c r="B55" s="46" t="s">
        <v>229</v>
      </c>
      <c r="C55" s="45" t="s">
        <v>9</v>
      </c>
      <c r="D55" s="45" t="n">
        <f aca="false">'Détail charges'!E69</f>
        <v>1.5</v>
      </c>
      <c r="E55" s="47" t="n">
        <v>9</v>
      </c>
      <c r="F55" s="47" t="n">
        <v>10</v>
      </c>
      <c r="G55" s="48"/>
      <c r="H55" s="48"/>
      <c r="I55" s="48"/>
      <c r="J55" s="48"/>
      <c r="K55" s="48"/>
      <c r="L55" s="48"/>
      <c r="M55" s="48"/>
      <c r="N55" s="48"/>
      <c r="O55" s="48"/>
      <c r="P55" s="48"/>
      <c r="Q55" s="48"/>
    </row>
    <row r="56" customFormat="false" ht="15" hidden="false" customHeight="false" outlineLevel="0" collapsed="false">
      <c r="A56" s="45" t="s">
        <v>231</v>
      </c>
      <c r="B56" s="46" t="s">
        <v>232</v>
      </c>
      <c r="C56" s="45" t="s">
        <v>9</v>
      </c>
      <c r="D56" s="45" t="n">
        <f aca="false">'Détail charges'!E70</f>
        <v>2</v>
      </c>
      <c r="E56" s="47" t="n">
        <v>10</v>
      </c>
      <c r="F56" s="47" t="n">
        <v>10</v>
      </c>
      <c r="G56" s="48"/>
      <c r="H56" s="48"/>
      <c r="I56" s="48"/>
      <c r="J56" s="48"/>
      <c r="K56" s="48"/>
      <c r="L56" s="48"/>
      <c r="M56" s="48"/>
      <c r="N56" s="48"/>
      <c r="O56" s="48"/>
      <c r="P56" s="48"/>
      <c r="Q56" s="48"/>
    </row>
    <row r="57" customFormat="false" ht="15" hidden="false" customHeight="false" outlineLevel="0" collapsed="false">
      <c r="A57" s="28" t="s">
        <v>27</v>
      </c>
      <c r="B57" s="29" t="s">
        <v>28</v>
      </c>
      <c r="C57" s="29"/>
      <c r="D57" s="28" t="n">
        <f aca="false">'Détail charges'!E76</f>
        <v>1.5</v>
      </c>
      <c r="E57" s="28" t="n">
        <f aca="false">MIN(E58:E59)</f>
        <v>10</v>
      </c>
      <c r="F57" s="28" t="n">
        <f aca="false">MAX(F58:F59)</f>
        <v>10</v>
      </c>
      <c r="G57" s="44"/>
      <c r="H57" s="44"/>
      <c r="I57" s="44"/>
      <c r="J57" s="44"/>
      <c r="K57" s="44"/>
      <c r="L57" s="44"/>
      <c r="M57" s="44"/>
      <c r="N57" s="44"/>
      <c r="O57" s="44"/>
      <c r="P57" s="44"/>
      <c r="Q57" s="44"/>
    </row>
    <row r="58" customFormat="false" ht="15" hidden="false" customHeight="false" outlineLevel="0" collapsed="false">
      <c r="A58" s="45" t="s">
        <v>236</v>
      </c>
      <c r="B58" s="46" t="s">
        <v>237</v>
      </c>
      <c r="C58" s="45" t="s">
        <v>9</v>
      </c>
      <c r="D58" s="45" t="n">
        <f aca="false">'Détail charges'!E74</f>
        <v>0.75</v>
      </c>
      <c r="E58" s="47" t="n">
        <v>10</v>
      </c>
      <c r="F58" s="47" t="n">
        <v>10</v>
      </c>
      <c r="G58" s="48"/>
      <c r="H58" s="48"/>
      <c r="I58" s="48"/>
      <c r="J58" s="48"/>
      <c r="K58" s="48"/>
      <c r="L58" s="48"/>
      <c r="M58" s="48"/>
      <c r="N58" s="48"/>
      <c r="O58" s="48"/>
      <c r="P58" s="48"/>
      <c r="Q58" s="48"/>
    </row>
    <row r="59" customFormat="false" ht="15" hidden="false" customHeight="false" outlineLevel="0" collapsed="false">
      <c r="A59" s="45" t="s">
        <v>239</v>
      </c>
      <c r="B59" s="46" t="s">
        <v>240</v>
      </c>
      <c r="C59" s="45" t="s">
        <v>9</v>
      </c>
      <c r="D59" s="45" t="n">
        <f aca="false">'Détail charges'!E75</f>
        <v>0.75</v>
      </c>
      <c r="E59" s="47" t="n">
        <v>10</v>
      </c>
      <c r="F59" s="47" t="n">
        <v>10</v>
      </c>
      <c r="G59" s="48"/>
      <c r="H59" s="48"/>
      <c r="I59" s="48"/>
      <c r="J59" s="48"/>
      <c r="K59" s="48"/>
      <c r="L59" s="48"/>
      <c r="M59" s="48"/>
      <c r="N59" s="48"/>
      <c r="O59" s="48"/>
      <c r="P59" s="48"/>
      <c r="Q59" s="48"/>
    </row>
    <row r="60" customFormat="false" ht="15" hidden="false" customHeight="false" outlineLevel="0" collapsed="false">
      <c r="A60" s="28" t="s">
        <v>29</v>
      </c>
      <c r="B60" s="29" t="s">
        <v>30</v>
      </c>
      <c r="C60" s="29"/>
      <c r="D60" s="28" t="n">
        <f aca="false">'Détail charges'!E80</f>
        <v>1.5</v>
      </c>
      <c r="E60" s="28" t="n">
        <f aca="false">MIN(E61:E61)</f>
        <v>1</v>
      </c>
      <c r="F60" s="28" t="n">
        <f aca="false">MAX(F61:F61)</f>
        <v>11</v>
      </c>
      <c r="G60" s="44"/>
      <c r="H60" s="44"/>
      <c r="I60" s="44"/>
      <c r="J60" s="44"/>
      <c r="K60" s="44"/>
      <c r="L60" s="44"/>
      <c r="M60" s="44"/>
      <c r="N60" s="44"/>
      <c r="O60" s="44"/>
      <c r="P60" s="44"/>
      <c r="Q60" s="44"/>
    </row>
    <row r="61" customFormat="false" ht="15" hidden="false" customHeight="false" outlineLevel="0" collapsed="false">
      <c r="A61" s="45" t="s">
        <v>243</v>
      </c>
      <c r="B61" s="46" t="s">
        <v>244</v>
      </c>
      <c r="C61" s="45" t="s">
        <v>9</v>
      </c>
      <c r="D61" s="45" t="n">
        <f aca="false">'Détail charges'!E79</f>
        <v>1.5</v>
      </c>
      <c r="E61" s="47" t="n">
        <v>1</v>
      </c>
      <c r="F61" s="47" t="n">
        <v>11</v>
      </c>
      <c r="G61" s="48"/>
      <c r="H61" s="48"/>
      <c r="I61" s="48"/>
      <c r="J61" s="48"/>
      <c r="K61" s="48"/>
      <c r="L61" s="48"/>
      <c r="M61" s="48"/>
      <c r="N61" s="48"/>
      <c r="O61" s="48"/>
      <c r="P61" s="48"/>
      <c r="Q61" s="48"/>
    </row>
    <row r="62" customFormat="false" ht="15" hidden="false" customHeight="false" outlineLevel="0" collapsed="false">
      <c r="A62" s="28" t="s">
        <v>31</v>
      </c>
      <c r="B62" s="29" t="s">
        <v>32</v>
      </c>
      <c r="C62" s="29"/>
      <c r="D62" s="28" t="n">
        <f aca="false">'Détail charges'!E85</f>
        <v>3</v>
      </c>
      <c r="E62" s="28" t="n">
        <f aca="false">MIN(E63:E64)</f>
        <v>11</v>
      </c>
      <c r="F62" s="28" t="n">
        <f aca="false">MAX(F63:F64)</f>
        <v>11</v>
      </c>
      <c r="G62" s="44"/>
      <c r="H62" s="44"/>
      <c r="I62" s="44"/>
      <c r="J62" s="44"/>
      <c r="K62" s="44"/>
      <c r="L62" s="44"/>
      <c r="M62" s="44"/>
      <c r="N62" s="44"/>
      <c r="O62" s="44"/>
      <c r="P62" s="44"/>
      <c r="Q62" s="44"/>
    </row>
    <row r="63" customFormat="false" ht="15" hidden="false" customHeight="false" outlineLevel="0" collapsed="false">
      <c r="A63" s="45" t="s">
        <v>247</v>
      </c>
      <c r="B63" s="46" t="s">
        <v>248</v>
      </c>
      <c r="C63" s="45" t="s">
        <v>9</v>
      </c>
      <c r="D63" s="45" t="n">
        <f aca="false">'Détail charges'!E83</f>
        <v>1.5</v>
      </c>
      <c r="E63" s="47" t="n">
        <v>11</v>
      </c>
      <c r="F63" s="47" t="n">
        <v>11</v>
      </c>
      <c r="G63" s="48"/>
      <c r="H63" s="48"/>
      <c r="I63" s="48"/>
      <c r="J63" s="48"/>
      <c r="K63" s="48"/>
      <c r="L63" s="48"/>
      <c r="M63" s="48"/>
      <c r="N63" s="48"/>
      <c r="O63" s="48"/>
      <c r="P63" s="48"/>
      <c r="Q63" s="48"/>
    </row>
    <row r="64" customFormat="false" ht="15" hidden="false" customHeight="false" outlineLevel="0" collapsed="false">
      <c r="A64" s="45" t="s">
        <v>250</v>
      </c>
      <c r="B64" s="46" t="s">
        <v>251</v>
      </c>
      <c r="C64" s="45" t="s">
        <v>9</v>
      </c>
      <c r="D64" s="45" t="n">
        <f aca="false">'Détail charges'!E84</f>
        <v>1.5</v>
      </c>
      <c r="E64" s="47" t="n">
        <v>11</v>
      </c>
      <c r="F64" s="47" t="n">
        <v>11</v>
      </c>
      <c r="G64" s="48"/>
      <c r="H64" s="48"/>
      <c r="I64" s="48"/>
      <c r="J64" s="48"/>
      <c r="K64" s="48"/>
      <c r="L64" s="48"/>
      <c r="M64" s="48"/>
      <c r="N64" s="48"/>
      <c r="O64" s="48"/>
      <c r="P64" s="48"/>
      <c r="Q64" s="48"/>
    </row>
    <row r="66" customFormat="false" ht="15" hidden="false" customHeight="true" outlineLevel="0" collapsed="false">
      <c r="A66" s="49" t="s">
        <v>271</v>
      </c>
      <c r="B66" s="49"/>
      <c r="C66" s="49"/>
      <c r="D66" s="49"/>
      <c r="E66" s="49"/>
      <c r="F66" s="49"/>
      <c r="G66" s="49"/>
      <c r="H66" s="49"/>
      <c r="I66" s="49"/>
      <c r="J66" s="49"/>
      <c r="K66" s="49"/>
      <c r="L66" s="49"/>
      <c r="M66" s="49"/>
      <c r="N66" s="49"/>
      <c r="O66" s="49"/>
      <c r="P66" s="49"/>
      <c r="Q66" s="49"/>
    </row>
    <row r="67" customFormat="false" ht="15" hidden="false" customHeight="true" outlineLevel="0" collapsed="false">
      <c r="A67" s="49" t="s">
        <v>272</v>
      </c>
      <c r="B67" s="49"/>
      <c r="C67" s="49"/>
      <c r="D67" s="49"/>
      <c r="E67" s="49"/>
      <c r="F67" s="49"/>
      <c r="G67" s="49"/>
      <c r="H67" s="49"/>
      <c r="I67" s="49"/>
      <c r="J67" s="49"/>
      <c r="K67" s="49"/>
      <c r="L67" s="49"/>
      <c r="M67" s="49"/>
      <c r="N67" s="49"/>
      <c r="O67" s="49"/>
      <c r="P67" s="49"/>
      <c r="Q67" s="49"/>
    </row>
    <row r="68" customFormat="false" ht="15" hidden="false" customHeight="true" outlineLevel="0" collapsed="false">
      <c r="A68" s="49" t="s">
        <v>273</v>
      </c>
      <c r="B68" s="49"/>
      <c r="C68" s="49"/>
      <c r="D68" s="49"/>
      <c r="E68" s="49"/>
      <c r="F68" s="49"/>
      <c r="G68" s="49"/>
      <c r="H68" s="49"/>
      <c r="I68" s="49"/>
      <c r="J68" s="49"/>
      <c r="K68" s="49"/>
      <c r="L68" s="49"/>
      <c r="M68" s="49"/>
      <c r="N68" s="49"/>
      <c r="O68" s="49"/>
      <c r="P68" s="49"/>
      <c r="Q68" s="49"/>
    </row>
  </sheetData>
  <mergeCells count="4">
    <mergeCell ref="A1:Q1"/>
    <mergeCell ref="A66:Q66"/>
    <mergeCell ref="A67:Q67"/>
    <mergeCell ref="A68:Q68"/>
  </mergeCells>
  <conditionalFormatting sqref="G6:Q64">
    <cfRule type="expression" priority="2" aboveAverage="0" equalAverage="0" bottom="0" percent="0" rank="0" text="" dxfId="0">
      <formula>AND(G$3&gt;=$E6,G$3&lt;=$F6,$C6="Data Engineer")</formula>
    </cfRule>
    <cfRule type="expression" priority="3" aboveAverage="0" equalAverage="0" bottom="0" percent="0" rank="0" text="" dxfId="1">
      <formula>AND(G$3&gt;=$E6,G$3&lt;=$F6,$C6="MLOps")</formula>
    </cfRule>
    <cfRule type="expression" priority="4" aboveAverage="0" equalAverage="0" bottom="0" percent="0" rank="0" text="" dxfId="2">
      <formula>AND(G$3&gt;=$E6,G$3&lt;=$F6,$C6="")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4" min="2" style="0" width="12"/>
    <col collapsed="false" customWidth="true" hidden="false" outlineLevel="0" max="5" min="5" style="0" width="80"/>
  </cols>
  <sheetData>
    <row r="1" customFormat="false" ht="15" hidden="false" customHeight="false" outlineLevel="0" collapsed="false">
      <c r="A1" s="27" t="s">
        <v>274</v>
      </c>
      <c r="B1" s="27"/>
      <c r="C1" s="27"/>
      <c r="D1" s="27"/>
      <c r="E1" s="27"/>
    </row>
    <row r="3" customFormat="false" ht="15" hidden="false" customHeight="false" outlineLevel="0" collapsed="false">
      <c r="A3" s="3" t="s">
        <v>275</v>
      </c>
      <c r="B3" s="3" t="s">
        <v>276</v>
      </c>
      <c r="C3" s="3" t="s">
        <v>277</v>
      </c>
      <c r="D3" s="3" t="s">
        <v>278</v>
      </c>
      <c r="E3" s="3" t="s">
        <v>279</v>
      </c>
    </row>
    <row r="4" customFormat="false" ht="42" hidden="false" customHeight="true" outlineLevel="0" collapsed="false">
      <c r="A4" s="50" t="s">
        <v>8</v>
      </c>
      <c r="B4" s="51" t="n">
        <v>0</v>
      </c>
      <c r="C4" s="52" t="n">
        <f aca="false">'Détail charges'!E9</f>
        <v>4</v>
      </c>
      <c r="D4" s="52" t="n">
        <f aca="false">C4-B4</f>
        <v>4</v>
      </c>
      <c r="E4" s="50" t="s">
        <v>280</v>
      </c>
    </row>
    <row r="5" customFormat="false" ht="42" hidden="false" customHeight="true" outlineLevel="0" collapsed="false">
      <c r="A5" s="50" t="s">
        <v>281</v>
      </c>
      <c r="B5" s="51" t="n">
        <v>9</v>
      </c>
      <c r="C5" s="52" t="n">
        <f aca="false">'Détail charges'!E18</f>
        <v>5.5</v>
      </c>
      <c r="D5" s="52" t="n">
        <f aca="false">C5-B5</f>
        <v>-3.5</v>
      </c>
      <c r="E5" s="50" t="s">
        <v>282</v>
      </c>
    </row>
    <row r="6" customFormat="false" ht="42" hidden="false" customHeight="true" outlineLevel="0" collapsed="false">
      <c r="A6" s="50" t="s">
        <v>283</v>
      </c>
      <c r="B6" s="51" t="n">
        <v>14</v>
      </c>
      <c r="C6" s="52" t="n">
        <f aca="false">'Détail charges'!E27</f>
        <v>5.5</v>
      </c>
      <c r="D6" s="52" t="n">
        <f aca="false">C6-B6</f>
        <v>-8.5</v>
      </c>
      <c r="E6" s="50" t="s">
        <v>284</v>
      </c>
    </row>
    <row r="7" customFormat="false" ht="42" hidden="false" customHeight="true" outlineLevel="0" collapsed="false">
      <c r="A7" s="50" t="s">
        <v>285</v>
      </c>
      <c r="B7" s="51" t="n">
        <v>13</v>
      </c>
      <c r="C7" s="52" t="n">
        <f aca="false">'Détail charges'!E36</f>
        <v>9</v>
      </c>
      <c r="D7" s="52" t="n">
        <f aca="false">C7-B7</f>
        <v>-4</v>
      </c>
      <c r="E7" s="50" t="s">
        <v>286</v>
      </c>
    </row>
    <row r="8" customFormat="false" ht="42" hidden="false" customHeight="true" outlineLevel="0" collapsed="false">
      <c r="A8" s="50" t="s">
        <v>287</v>
      </c>
      <c r="B8" s="51" t="n">
        <v>4.5</v>
      </c>
      <c r="C8" s="52" t="n">
        <f aca="false">'Détail charges'!E45</f>
        <v>4</v>
      </c>
      <c r="D8" s="52" t="n">
        <f aca="false">C8-B8</f>
        <v>-0.5</v>
      </c>
      <c r="E8" s="50" t="s">
        <v>288</v>
      </c>
    </row>
    <row r="9" customFormat="false" ht="42" hidden="false" customHeight="true" outlineLevel="0" collapsed="false">
      <c r="A9" s="50" t="s">
        <v>289</v>
      </c>
      <c r="B9" s="51" t="n">
        <v>14</v>
      </c>
      <c r="C9" s="52" t="n">
        <f aca="false">'Détail charges'!E52</f>
        <v>6</v>
      </c>
      <c r="D9" s="52" t="n">
        <f aca="false">C9-B9</f>
        <v>-8</v>
      </c>
      <c r="E9" s="50" t="s">
        <v>290</v>
      </c>
    </row>
    <row r="10" customFormat="false" ht="42" hidden="false" customHeight="true" outlineLevel="0" collapsed="false">
      <c r="A10" s="50" t="s">
        <v>291</v>
      </c>
      <c r="B10" s="51" t="n">
        <v>9</v>
      </c>
      <c r="C10" s="52" t="n">
        <f aca="false">'Détail charges'!E60</f>
        <v>5.5</v>
      </c>
      <c r="D10" s="52" t="n">
        <f aca="false">C10-B10</f>
        <v>-3.5</v>
      </c>
      <c r="E10" s="50" t="s">
        <v>292</v>
      </c>
    </row>
    <row r="11" customFormat="false" ht="42" hidden="false" customHeight="true" outlineLevel="0" collapsed="false">
      <c r="A11" s="50" t="s">
        <v>24</v>
      </c>
      <c r="B11" s="51" t="n">
        <v>0</v>
      </c>
      <c r="C11" s="52" t="n">
        <f aca="false">'Détail charges'!E65</f>
        <v>1.5</v>
      </c>
      <c r="D11" s="52" t="n">
        <f aca="false">C11-B11</f>
        <v>1.5</v>
      </c>
      <c r="E11" s="50" t="s">
        <v>293</v>
      </c>
    </row>
    <row r="12" customFormat="false" ht="42" hidden="false" customHeight="true" outlineLevel="0" collapsed="false">
      <c r="A12" s="50" t="s">
        <v>294</v>
      </c>
      <c r="B12" s="51" t="n">
        <v>7</v>
      </c>
      <c r="C12" s="52" t="n">
        <f aca="false">'Détail charges'!E71</f>
        <v>5.5</v>
      </c>
      <c r="D12" s="52" t="n">
        <f aca="false">C12-B12</f>
        <v>-1.5</v>
      </c>
      <c r="E12" s="50" t="s">
        <v>295</v>
      </c>
    </row>
    <row r="13" customFormat="false" ht="42" hidden="false" customHeight="true" outlineLevel="0" collapsed="false">
      <c r="A13" s="50" t="s">
        <v>296</v>
      </c>
      <c r="B13" s="51" t="n">
        <v>3</v>
      </c>
      <c r="C13" s="52" t="n">
        <f aca="false">'Détail charges'!E76</f>
        <v>1.5</v>
      </c>
      <c r="D13" s="52" t="n">
        <f aca="false">C13-B13</f>
        <v>-1.5</v>
      </c>
      <c r="E13" s="50" t="s">
        <v>297</v>
      </c>
    </row>
    <row r="14" customFormat="false" ht="42" hidden="false" customHeight="true" outlineLevel="0" collapsed="false">
      <c r="A14" s="50" t="s">
        <v>298</v>
      </c>
      <c r="B14" s="51" t="n">
        <v>4</v>
      </c>
      <c r="C14" s="52" t="n">
        <f aca="false">'Détail charges'!E80</f>
        <v>1.5</v>
      </c>
      <c r="D14" s="52" t="n">
        <f aca="false">C14-B14</f>
        <v>-2.5</v>
      </c>
      <c r="E14" s="50" t="s">
        <v>299</v>
      </c>
    </row>
    <row r="15" customFormat="false" ht="42" hidden="false" customHeight="true" outlineLevel="0" collapsed="false">
      <c r="A15" s="50" t="s">
        <v>300</v>
      </c>
      <c r="B15" s="51" t="n">
        <v>8</v>
      </c>
      <c r="C15" s="52" t="n">
        <f aca="false">'Détail charges'!E85</f>
        <v>3</v>
      </c>
      <c r="D15" s="52" t="n">
        <f aca="false">C15-B15</f>
        <v>-5</v>
      </c>
      <c r="E15" s="50" t="s">
        <v>301</v>
      </c>
    </row>
    <row r="16" customFormat="false" ht="15" hidden="false" customHeight="false" outlineLevel="0" collapsed="false">
      <c r="A16" s="53" t="s">
        <v>302</v>
      </c>
      <c r="B16" s="54" t="n">
        <f aca="false">SUM(B4:B15)</f>
        <v>85.5</v>
      </c>
      <c r="C16" s="54" t="n">
        <f aca="false">SUM(C4:C15)</f>
        <v>52.5</v>
      </c>
      <c r="D16" s="54" t="n">
        <f aca="false">SUM(D4:D15)</f>
        <v>-33</v>
      </c>
      <c r="E16" s="55" t="s">
        <v>303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16"/>
    <col collapsed="false" customWidth="true" hidden="false" outlineLevel="0" max="3" min="3" style="0" width="22"/>
    <col collapsed="false" customWidth="true" hidden="false" outlineLevel="0" max="4" min="4" style="0" width="14"/>
    <col collapsed="false" customWidth="true" hidden="false" outlineLevel="0" max="5" min="5" style="0" width="62"/>
  </cols>
  <sheetData>
    <row r="1" customFormat="false" ht="15" hidden="false" customHeight="false" outlineLevel="0" collapsed="false">
      <c r="A1" s="56" t="s">
        <v>304</v>
      </c>
      <c r="B1" s="56"/>
      <c r="C1" s="56"/>
      <c r="D1" s="56"/>
      <c r="E1" s="56"/>
    </row>
    <row r="3" customFormat="false" ht="15" hidden="false" customHeight="false" outlineLevel="0" collapsed="false">
      <c r="A3" s="3" t="s">
        <v>305</v>
      </c>
      <c r="B3" s="3" t="s">
        <v>306</v>
      </c>
      <c r="C3" s="3" t="s">
        <v>307</v>
      </c>
      <c r="D3" s="3" t="s">
        <v>5</v>
      </c>
      <c r="E3" s="3" t="s">
        <v>308</v>
      </c>
    </row>
    <row r="4" customFormat="false" ht="15" hidden="false" customHeight="false" outlineLevel="0" collapsed="false">
      <c r="A4" s="57" t="s">
        <v>309</v>
      </c>
      <c r="B4" s="58" t="s">
        <v>310</v>
      </c>
      <c r="C4" s="58" t="s">
        <v>311</v>
      </c>
      <c r="D4" s="58" t="n">
        <f aca="false">'Détail charges'!E17</f>
        <v>1</v>
      </c>
      <c r="E4" s="57" t="s">
        <v>312</v>
      </c>
    </row>
    <row r="5" customFormat="false" ht="15" hidden="false" customHeight="false" outlineLevel="0" collapsed="false">
      <c r="A5" s="59" t="s">
        <v>313</v>
      </c>
      <c r="B5" s="60" t="s">
        <v>314</v>
      </c>
      <c r="C5" s="60" t="s">
        <v>311</v>
      </c>
      <c r="D5" s="60" t="n">
        <f aca="false">'Détail charges'!E26</f>
        <v>1</v>
      </c>
      <c r="E5" s="59" t="s">
        <v>315</v>
      </c>
    </row>
    <row r="6" customFormat="false" ht="15" hidden="false" customHeight="false" outlineLevel="0" collapsed="false">
      <c r="A6" s="57" t="s">
        <v>316</v>
      </c>
      <c r="B6" s="58" t="s">
        <v>317</v>
      </c>
      <c r="C6" s="58" t="s">
        <v>311</v>
      </c>
      <c r="D6" s="58" t="n">
        <f aca="false">'Détail charges'!E34</f>
        <v>2</v>
      </c>
      <c r="E6" s="57" t="s">
        <v>318</v>
      </c>
    </row>
    <row r="7" customFormat="false" ht="15" hidden="false" customHeight="false" outlineLevel="0" collapsed="false">
      <c r="A7" s="59" t="s">
        <v>319</v>
      </c>
      <c r="B7" s="60" t="s">
        <v>320</v>
      </c>
      <c r="C7" s="60" t="s">
        <v>311</v>
      </c>
      <c r="D7" s="60" t="n">
        <f aca="false">'Détail charges'!E44</f>
        <v>0.5</v>
      </c>
      <c r="E7" s="59" t="s">
        <v>321</v>
      </c>
    </row>
    <row r="8" customFormat="false" ht="15" hidden="false" customHeight="false" outlineLevel="0" collapsed="false">
      <c r="A8" s="57" t="s">
        <v>322</v>
      </c>
      <c r="B8" s="58" t="s">
        <v>310</v>
      </c>
      <c r="C8" s="58" t="s">
        <v>311</v>
      </c>
      <c r="D8" s="58" t="n">
        <f aca="false">'Détail charges'!E51</f>
        <v>1.5</v>
      </c>
      <c r="E8" s="57" t="s">
        <v>323</v>
      </c>
    </row>
    <row r="9" customFormat="false" ht="15" hidden="false" customHeight="false" outlineLevel="0" collapsed="false">
      <c r="A9" s="59" t="s">
        <v>324</v>
      </c>
      <c r="B9" s="60" t="s">
        <v>320</v>
      </c>
      <c r="C9" s="60" t="s">
        <v>311</v>
      </c>
      <c r="D9" s="60" t="n">
        <f aca="false">'Détail charges'!E59</f>
        <v>1.5</v>
      </c>
      <c r="E9" s="59" t="s">
        <v>325</v>
      </c>
    </row>
    <row r="11" customFormat="false" ht="15" hidden="false" customHeight="false" outlineLevel="0" collapsed="false">
      <c r="A11" s="22" t="s">
        <v>326</v>
      </c>
      <c r="D11" s="24" t="n">
        <f aca="false">SUM(D4:D9)</f>
        <v>7.5</v>
      </c>
      <c r="E11" s="61" t="n">
        <f aca="false">D11/'Détail charges'!E87</f>
        <v>0.142857142857143</v>
      </c>
    </row>
    <row r="13" customFormat="false" ht="30" hidden="false" customHeight="true" outlineLevel="0" collapsed="false">
      <c r="A13" s="62" t="s">
        <v>327</v>
      </c>
      <c r="B13" s="62"/>
      <c r="C13" s="62"/>
      <c r="D13" s="62"/>
      <c r="E13" s="62"/>
    </row>
    <row r="14" customFormat="false" ht="15" hidden="false" customHeight="false" outlineLevel="0" collapsed="false">
      <c r="A14" s="62"/>
      <c r="B14" s="62"/>
      <c r="C14" s="62"/>
      <c r="D14" s="62"/>
      <c r="E14" s="62"/>
    </row>
  </sheetData>
  <mergeCells count="2">
    <mergeCell ref="A1:E1"/>
    <mergeCell ref="A13:E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60"/>
    <col collapsed="false" customWidth="true" hidden="false" outlineLevel="0" max="3" min="3" style="0" width="14"/>
    <col collapsed="false" customWidth="true" hidden="false" outlineLevel="0" max="4" min="4" style="0" width="46"/>
    <col collapsed="false" customWidth="true" hidden="false" outlineLevel="0" max="5" min="5" style="0" width="40"/>
  </cols>
  <sheetData>
    <row r="1" customFormat="false" ht="15" hidden="false" customHeight="false" outlineLevel="0" collapsed="false">
      <c r="A1" s="27" t="s">
        <v>328</v>
      </c>
      <c r="B1" s="27"/>
      <c r="C1" s="27"/>
      <c r="D1" s="27"/>
      <c r="E1" s="27"/>
    </row>
    <row r="3" customFormat="false" ht="15" hidden="false" customHeight="false" outlineLevel="0" collapsed="false">
      <c r="A3" s="3" t="s">
        <v>53</v>
      </c>
      <c r="B3" s="3" t="s">
        <v>329</v>
      </c>
      <c r="C3" s="3" t="s">
        <v>330</v>
      </c>
      <c r="D3" s="3" t="s">
        <v>331</v>
      </c>
      <c r="E3" s="3" t="s">
        <v>332</v>
      </c>
    </row>
    <row r="4" customFormat="false" ht="31.5" hidden="false" customHeight="true" outlineLevel="0" collapsed="false">
      <c r="A4" s="63" t="s">
        <v>333</v>
      </c>
      <c r="B4" s="59" t="s">
        <v>334</v>
      </c>
      <c r="C4" s="63" t="s">
        <v>335</v>
      </c>
      <c r="D4" s="59" t="s">
        <v>336</v>
      </c>
      <c r="E4" s="59" t="s">
        <v>337</v>
      </c>
    </row>
    <row r="5" customFormat="false" ht="31.5" hidden="false" customHeight="true" outlineLevel="0" collapsed="false">
      <c r="A5" s="64" t="s">
        <v>338</v>
      </c>
      <c r="B5" s="65" t="s">
        <v>339</v>
      </c>
      <c r="C5" s="64" t="s">
        <v>340</v>
      </c>
      <c r="D5" s="65" t="s">
        <v>341</v>
      </c>
      <c r="E5" s="65" t="s">
        <v>342</v>
      </c>
    </row>
    <row r="6" customFormat="false" ht="31.5" hidden="false" customHeight="true" outlineLevel="0" collapsed="false">
      <c r="A6" s="63" t="s">
        <v>343</v>
      </c>
      <c r="B6" s="59" t="s">
        <v>344</v>
      </c>
      <c r="C6" s="63" t="s">
        <v>345</v>
      </c>
      <c r="D6" s="59" t="s">
        <v>346</v>
      </c>
      <c r="E6" s="59" t="s">
        <v>347</v>
      </c>
    </row>
    <row r="7" customFormat="false" ht="31.5" hidden="false" customHeight="true" outlineLevel="0" collapsed="false">
      <c r="A7" s="64" t="s">
        <v>348</v>
      </c>
      <c r="B7" s="65" t="s">
        <v>349</v>
      </c>
      <c r="C7" s="64" t="s">
        <v>350</v>
      </c>
      <c r="D7" s="65" t="s">
        <v>351</v>
      </c>
      <c r="E7" s="65" t="s">
        <v>352</v>
      </c>
    </row>
    <row r="8" customFormat="false" ht="31.5" hidden="false" customHeight="true" outlineLevel="0" collapsed="false">
      <c r="A8" s="63" t="s">
        <v>353</v>
      </c>
      <c r="B8" s="59" t="s">
        <v>354</v>
      </c>
      <c r="C8" s="63" t="s">
        <v>355</v>
      </c>
      <c r="D8" s="59" t="s">
        <v>356</v>
      </c>
      <c r="E8" s="59" t="s">
        <v>357</v>
      </c>
    </row>
    <row r="9" customFormat="false" ht="31.5" hidden="false" customHeight="true" outlineLevel="0" collapsed="false">
      <c r="A9" s="64" t="s">
        <v>358</v>
      </c>
      <c r="B9" s="65" t="s">
        <v>359</v>
      </c>
      <c r="C9" s="64" t="s">
        <v>360</v>
      </c>
      <c r="D9" s="65" t="s">
        <v>361</v>
      </c>
      <c r="E9" s="65" t="s">
        <v>362</v>
      </c>
    </row>
    <row r="10" customFormat="false" ht="31.5" hidden="false" customHeight="true" outlineLevel="0" collapsed="false">
      <c r="A10" s="63" t="s">
        <v>363</v>
      </c>
      <c r="B10" s="59" t="s">
        <v>364</v>
      </c>
      <c r="C10" s="63" t="s">
        <v>365</v>
      </c>
      <c r="D10" s="59" t="s">
        <v>366</v>
      </c>
      <c r="E10" s="59" t="s">
        <v>367</v>
      </c>
    </row>
    <row r="11" customFormat="false" ht="31.5" hidden="false" customHeight="true" outlineLevel="0" collapsed="false">
      <c r="A11" s="64" t="s">
        <v>368</v>
      </c>
      <c r="B11" s="65" t="s">
        <v>369</v>
      </c>
      <c r="C11" s="64" t="s">
        <v>61</v>
      </c>
      <c r="D11" s="65" t="s">
        <v>370</v>
      </c>
      <c r="E11" s="65" t="s">
        <v>371</v>
      </c>
    </row>
    <row r="12" customFormat="false" ht="31.5" hidden="false" customHeight="true" outlineLevel="0" collapsed="false">
      <c r="A12" s="66" t="s">
        <v>372</v>
      </c>
      <c r="B12" s="67" t="s">
        <v>373</v>
      </c>
      <c r="C12" s="66" t="s">
        <v>61</v>
      </c>
      <c r="D12" s="67" t="s">
        <v>374</v>
      </c>
      <c r="E12" s="67" t="s">
        <v>375</v>
      </c>
    </row>
    <row r="13" customFormat="false" ht="31.5" hidden="false" customHeight="true" outlineLevel="0" collapsed="false">
      <c r="A13" s="66" t="s">
        <v>376</v>
      </c>
      <c r="B13" s="67" t="s">
        <v>377</v>
      </c>
      <c r="C13" s="66" t="s">
        <v>378</v>
      </c>
      <c r="D13" s="67" t="s">
        <v>379</v>
      </c>
      <c r="E13" s="67" t="s">
        <v>342</v>
      </c>
    </row>
    <row r="14" customFormat="false" ht="31.5" hidden="false" customHeight="true" outlineLevel="0" collapsed="false">
      <c r="A14" s="66" t="s">
        <v>380</v>
      </c>
      <c r="B14" s="67" t="s">
        <v>381</v>
      </c>
      <c r="C14" s="66" t="s">
        <v>355</v>
      </c>
      <c r="D14" s="67" t="s">
        <v>382</v>
      </c>
      <c r="E14" s="67" t="s">
        <v>383</v>
      </c>
    </row>
    <row r="15" customFormat="false" ht="31.5" hidden="false" customHeight="true" outlineLevel="0" collapsed="false">
      <c r="A15" s="66" t="s">
        <v>384</v>
      </c>
      <c r="B15" s="67" t="s">
        <v>385</v>
      </c>
      <c r="C15" s="66" t="s">
        <v>61</v>
      </c>
      <c r="D15" s="67" t="s">
        <v>386</v>
      </c>
      <c r="E15" s="67" t="s">
        <v>387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2026-10-05T09:10:22Z</dcterms:created>
  <dc:creator>Équipe projet COR</dc:creator>
  <dc:description/>
  <dc:language>en-US</dc:language>
  <cp:lastModifiedBy>Équipe projet COR</cp:lastModifiedBy>
  <dcterms:modified xsi:type="dcterms:W3CDTF">2026-10-05T09:10:22Z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